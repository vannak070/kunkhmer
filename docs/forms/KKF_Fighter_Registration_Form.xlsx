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ub" sheetId="2" state="visible" r:id="rId2"/>
    <sheet xmlns:r="http://schemas.openxmlformats.org/officeDocument/2006/relationships" name="Fighters" sheetId="3" state="visible" r:id="rId3"/>
    <sheet xmlns:r="http://schemas.openxmlformats.org/officeDocument/2006/relationships" name="Lists" sheetId="4" state="hidden" r:id="rId4"/>
  </sheets>
  <definedNames>
    <definedName name="_xlnm._FilterDatabase" localSheetId="2" hidden="1">'Fighters'!$A$2:$AD$53</definedName>
    <definedName name="_xlnm.Print_Titles" localSheetId="2">'Fighters'!$2:$2</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4">
    <font>
      <name val="Calibri"/>
      <family val="2"/>
      <color theme="1"/>
      <sz val="11"/>
      <scheme val="minor"/>
    </font>
    <font>
      <name val="Arial"/>
      <b val="1"/>
      <color rgb="000A3D91"/>
      <sz val="16"/>
    </font>
    <font>
      <name val="Arial"/>
      <b val="1"/>
      <color rgb="000A3D91"/>
      <sz val="14"/>
    </font>
    <font>
      <name val="Arial"/>
      <b val="1"/>
      <color rgb="000A3D91"/>
      <sz val="12"/>
    </font>
    <font>
      <name val="Arial"/>
      <color rgb="00222222"/>
      <sz val="11"/>
    </font>
    <font>
      <name val="Arial"/>
      <b val="1"/>
    </font>
    <font>
      <name val="Arial"/>
      <b val="1"/>
      <color rgb="000A3D91"/>
      <sz val="10"/>
    </font>
    <font>
      <name val="Arial"/>
      <i val="1"/>
      <color rgb="00555555"/>
      <sz val="10"/>
    </font>
    <font>
      <name val="Arial"/>
      <b val="1"/>
      <sz val="11"/>
    </font>
    <font>
      <name val="Arial"/>
      <sz val="11"/>
    </font>
    <font>
      <name val="Arial"/>
      <i val="1"/>
      <color rgb="00777777"/>
      <sz val="10"/>
    </font>
    <font>
      <name val="Arial"/>
      <b val="1"/>
      <color rgb="000A3D91"/>
      <sz val="13"/>
    </font>
    <font>
      <name val="Arial"/>
      <b val="1"/>
      <color rgb="00FFFFFF"/>
      <sz val="10"/>
    </font>
    <font>
      <name val="Arial"/>
      <color rgb="00000000"/>
      <sz val="10"/>
    </font>
  </fonts>
  <fills count="10">
    <fill>
      <patternFill/>
    </fill>
    <fill>
      <patternFill patternType="gray125"/>
    </fill>
    <fill>
      <patternFill patternType="solid">
        <fgColor rgb="00FFF9DB"/>
      </patternFill>
    </fill>
    <fill>
      <patternFill patternType="solid">
        <fgColor rgb="00EDEFF3"/>
      </patternFill>
    </fill>
    <fill>
      <patternFill patternType="solid">
        <fgColor rgb="00E3ECFA"/>
      </patternFill>
    </fill>
    <fill>
      <patternFill patternType="solid">
        <fgColor rgb="00FDE2E2"/>
      </patternFill>
    </fill>
    <fill>
      <patternFill patternType="solid">
        <fgColor rgb="005B6B85"/>
      </patternFill>
    </fill>
    <fill>
      <patternFill patternType="solid">
        <fgColor rgb="000A3D91"/>
      </patternFill>
    </fill>
    <fill>
      <patternFill patternType="solid">
        <fgColor rgb="00F4F4F4"/>
      </patternFill>
    </fill>
    <fill>
      <patternFill patternType="solid">
        <fgColor rgb="002F5FAF"/>
      </patternFill>
    </fill>
  </fills>
  <borders count="2">
    <border>
      <left/>
      <right/>
      <top/>
      <bottom/>
      <diagonal/>
    </border>
    <border>
      <left style="thin">
        <color rgb="00C9CED6"/>
      </left>
      <right style="thin">
        <color rgb="00C9CED6"/>
      </right>
      <top style="thin">
        <color rgb="00C9CED6"/>
      </top>
      <bottom style="thin">
        <color rgb="00C9CED6"/>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0" borderId="0" applyAlignment="1" pivotButton="0" quotePrefix="0" xfId="0">
      <alignment vertical="center"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4" fillId="4" borderId="0" applyAlignment="1" pivotButton="0" quotePrefix="0" xfId="0">
      <alignment vertical="center" wrapText="1"/>
    </xf>
    <xf numFmtId="0" fontId="4" fillId="5" borderId="0" applyAlignment="1" pivotButton="0" quotePrefix="0" xfId="0">
      <alignment vertical="center" wrapText="1"/>
    </xf>
    <xf numFmtId="0" fontId="7" fillId="0" borderId="0" pivotButton="0" quotePrefix="0" xfId="0"/>
    <xf numFmtId="0" fontId="6" fillId="0" borderId="0" pivotButton="0" quotePrefix="0" xfId="0"/>
    <xf numFmtId="0" fontId="8" fillId="0" borderId="0" applyAlignment="1" pivotButton="0" quotePrefix="0" xfId="0">
      <alignment vertical="center" wrapText="1"/>
    </xf>
    <xf numFmtId="0" fontId="9" fillId="2" borderId="1" applyAlignment="1" pivotButton="0" quotePrefix="0" xfId="0">
      <alignment vertical="center" wrapText="1"/>
    </xf>
    <xf numFmtId="0" fontId="10" fillId="0" borderId="0" applyAlignment="1" pivotButton="0" quotePrefix="0" xfId="0">
      <alignment vertical="center" wrapText="1"/>
    </xf>
    <xf numFmtId="49" fontId="9" fillId="2" borderId="1" applyAlignment="1" pivotButton="0" quotePrefix="0" xfId="0">
      <alignment vertical="center" wrapText="1"/>
    </xf>
    <xf numFmtId="164" fontId="9" fillId="2" borderId="1" applyAlignment="1" pivotButton="0" quotePrefix="0" xfId="0">
      <alignment vertical="center" wrapText="1"/>
    </xf>
    <xf numFmtId="0" fontId="11" fillId="0" borderId="0" pivotButton="0" quotePrefix="0" xfId="0"/>
    <xf numFmtId="0" fontId="12" fillId="6" borderId="1" applyAlignment="1" pivotButton="0" quotePrefix="0" xfId="0">
      <alignment horizontal="center" vertical="center" wrapText="1"/>
    </xf>
    <xf numFmtId="0" fontId="12" fillId="7" borderId="1" applyAlignment="1" pivotButton="0" quotePrefix="0" xfId="0">
      <alignment horizontal="center" vertical="center" wrapText="1"/>
    </xf>
    <xf numFmtId="0" fontId="12" fillId="9"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8" borderId="1" applyAlignment="1" pivotButton="0" quotePrefix="0" xfId="0">
      <alignment vertical="center" wrapText="1"/>
    </xf>
    <xf numFmtId="0" fontId="10" fillId="8" borderId="1" applyAlignment="1" pivotButton="0" quotePrefix="0" xfId="0">
      <alignment vertical="center"/>
    </xf>
    <xf numFmtId="164" fontId="10" fillId="8" borderId="1" applyAlignment="1" pivotButton="0" quotePrefix="0" xfId="0">
      <alignment vertical="center"/>
    </xf>
    <xf numFmtId="165" fontId="10" fillId="8" borderId="1" applyAlignment="1" pivotButton="0" quotePrefix="0" xfId="0">
      <alignment vertical="center"/>
    </xf>
    <xf numFmtId="49" fontId="10" fillId="8" borderId="1" applyAlignment="1" pivotButton="0" quotePrefix="0" xfId="0">
      <alignment vertical="center" wrapText="1"/>
    </xf>
    <xf numFmtId="0" fontId="13" fillId="3" borderId="1" applyAlignment="1" pivotButton="0" quotePrefix="0" xfId="0">
      <alignment horizontal="center" vertical="center" wrapText="1"/>
    </xf>
    <xf numFmtId="0" fontId="13" fillId="2" borderId="1" applyAlignment="1" pivotButton="0" quotePrefix="0" xfId="0">
      <alignment vertical="center" wrapText="1"/>
    </xf>
    <xf numFmtId="0" fontId="13" fillId="2" borderId="1" applyAlignment="1" pivotButton="0" quotePrefix="0" xfId="0">
      <alignment vertical="center"/>
    </xf>
    <xf numFmtId="164" fontId="13" fillId="2" borderId="1" applyAlignment="1" pivotButton="0" quotePrefix="0" xfId="0">
      <alignment vertical="center"/>
    </xf>
    <xf numFmtId="165" fontId="13" fillId="2" borderId="1" applyAlignment="1" pivotButton="0" quotePrefix="0" xfId="0">
      <alignment vertical="center"/>
    </xf>
    <xf numFmtId="49" fontId="13" fillId="2" borderId="1" applyAlignment="1" pivotButton="0" quotePrefix="0" xfId="0">
      <alignment vertical="center" wrapText="1"/>
    </xf>
    <xf numFmtId="0" fontId="13" fillId="4" borderId="1" applyAlignment="1" pivotButton="0" quotePrefix="0" xfId="0">
      <alignment vertical="center"/>
    </xf>
    <xf numFmtId="0" fontId="5" fillId="0" borderId="0" pivotButton="0" quotePrefix="0" xfId="0"/>
  </cellXfs>
  <cellStyles count="1">
    <cellStyle name="Normal" xfId="0" builtinId="0" hidden="0"/>
  </cellStyles>
  <dxfs count="1">
    <dxf>
      <fill>
        <patternFill patternType="solid">
          <fgColor rgb="00FD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KKF</author>
  </authors>
  <commentList>
    <comment ref="L2" authorId="0" shapeId="0">
      <text>
        <t>Worked out from the weight using KKF's 14 official weight classes (System Settings, 2026-09-28): the class with the lowest upper limit at or above the weight.</t>
      </text>
    </comment>
    <comment ref="S2" authorId="0" shapeId="0">
      <text>
        <t>Wins-Losses-Draws, as entered in the system.</t>
      </text>
    </comment>
    <comment ref="AD2" authorId="0" shapeId="0">
      <text>
        <t>KKF staff: set to Yes once the fighter is registered in the system.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C22"/>
  <sheetViews>
    <sheetView showGridLines="0" workbookViewId="0">
      <selection activeCell="A1" sqref="A1"/>
    </sheetView>
  </sheetViews>
  <sheetFormatPr baseColWidth="8" defaultRowHeight="15"/>
  <cols>
    <col width="4" customWidth="1" min="1" max="1"/>
    <col width="62" customWidth="1" min="2" max="2"/>
    <col width="62" customWidth="1" min="3" max="3"/>
  </cols>
  <sheetData>
    <row r="2">
      <c r="B2" s="1" t="inlineStr">
        <is>
          <t>Kun Khmer Federation — Fighter Registration Form</t>
        </is>
      </c>
    </row>
    <row r="3">
      <c r="B3" s="2" t="inlineStr">
        <is>
          <t>សហព័ន្ធគុនខ្មែរ — ទម្រង់ចុះឈ្មោះអ្នកប្រដាល់</t>
        </is>
      </c>
    </row>
    <row r="5" ht="22" customHeight="1">
      <c r="B5" s="3" t="inlineStr">
        <is>
          <t>How to fill in this form</t>
        </is>
      </c>
      <c r="C5" s="3" t="inlineStr">
        <is>
          <t>របៀបបំពេញទម្រង់នេះ</t>
        </is>
      </c>
    </row>
    <row r="6" ht="34" customHeight="1">
      <c r="B6" s="4" t="inlineStr">
        <is>
          <t>1. Fill in the Club sheet once (your club and contact person).</t>
        </is>
      </c>
      <c r="C6" s="4" t="inlineStr">
        <is>
          <t>១. បំពេញសន្លឹក Club ម្តង (ក្លឹប និងអ្នកទំនាក់ទំនង)។</t>
        </is>
      </c>
    </row>
    <row r="7" ht="34" customHeight="1">
      <c r="B7" s="4" t="inlineStr">
        <is>
          <t>2. On the Fighters sheet, use one row per fighter. Row 3 is an example — leave it as it is.</t>
        </is>
      </c>
      <c r="C7" s="4" t="inlineStr">
        <is>
          <t>២. នៅសន្លឹក Fighters សរសេរអ្នកប្រដាល់ម្នាក់ក្នុងមួយជួរ។ ជួរទី ៣ ជាឧទាហរណ៍ — សូមកុំកែ។</t>
        </is>
      </c>
    </row>
    <row r="8" ht="34" customHeight="1">
      <c r="B8" s="4" t="inlineStr">
        <is>
          <t>3. Columns marked * are required. Choose from the drop-down list where there is one.</t>
        </is>
      </c>
      <c r="C8" s="4" t="inlineStr">
        <is>
          <t>៣. ជួរឈរដែលមានសញ្ញា * ត្រូវតែបំពេញ។ សូមជ្រើសពីបញ្ជីជម្រើស នៅកន្លែងដែលមាន។</t>
        </is>
      </c>
    </row>
    <row r="9" ht="34" customHeight="1">
      <c r="B9" s="4" t="inlineStr">
        <is>
          <t>4. Dates as DD/MM/YYYY (e.g. 14/05/2003). Weight in kilograms, height in centimetres.</t>
        </is>
      </c>
      <c r="C9" s="4" t="inlineStr">
        <is>
          <t>៤. កាលបរិច្ឆេទជាទម្រង់ ថ្ងៃ/ខែ/ឆ្នាំ (ឧ. 14/05/2003)។ ទម្ងន់ជាគីឡូក្រាម កម្ពស់ជាសង់ទីម៉ែត្រ។</t>
        </is>
      </c>
    </row>
    <row r="10" ht="34" customHeight="1">
      <c r="B10" s="4" t="inlineStr">
        <is>
          <t>5. Grey columns (age, weight class, record) fill in automatically — don't type in them.</t>
        </is>
      </c>
      <c r="C10" s="4" t="inlineStr">
        <is>
          <t>៥. ជួរឈរពណ៌ប្រផេះ (អាយុ ថ្នាក់ទម្ងន់ កំណត់ត្រា) បំពេញដោយស្វ័យប្រវត្តិ — សូមកុំសរសេរ។</t>
        </is>
      </c>
    </row>
    <row r="11" ht="34" customHeight="1">
      <c r="B11" s="4" t="inlineStr">
        <is>
          <t>6. Record: wins, losses and draws so far. KKF will check them.</t>
        </is>
      </c>
      <c r="C11" s="4" t="inlineStr">
        <is>
          <t>៦. កំណត់ត្រា៖ ចំនួនឈ្នះ ចាញ់ និងស្មើ រហូតមកដល់ពេលនេះ។ KKF នឹងពិនិត្យផ្ទៀងផ្ទាត់។</t>
        </is>
      </c>
    </row>
    <row r="12" ht="34" customHeight="1">
      <c r="B12" s="4" t="inlineStr">
        <is>
          <t>7. Photos are not needed in this form.</t>
        </is>
      </c>
      <c r="C12" s="4" t="inlineStr">
        <is>
          <t>៧. មិនចាំបាច់ភ្ជាប់រូបថតក្នុងទម្រង់នេះទេ។</t>
        </is>
      </c>
    </row>
    <row r="13" ht="34" customHeight="1">
      <c r="B13" s="4" t="inlineStr">
        <is>
          <t>8. Save the file and send it to KKF. KKF registers the fighters and decides their grade.</t>
        </is>
      </c>
      <c r="C13" s="4" t="inlineStr">
        <is>
          <t>៨. រក្សាទុកឯកសារ ហើយផ្ញើទៅ KKF។ KKF ចុះឈ្មោះអ្នកប្រដាល់ និងកំណត់កម្រិតរបស់ពួកគេ។</t>
        </is>
      </c>
    </row>
    <row r="14" ht="22" customHeight="1">
      <c r="B14" s="4" t="inlineStr"/>
      <c r="C14" s="4" t="inlineStr"/>
    </row>
    <row r="15" ht="22" customHeight="1">
      <c r="B15" s="3" t="inlineStr">
        <is>
          <t>Colours</t>
        </is>
      </c>
      <c r="C15" s="3" t="inlineStr">
        <is>
          <t>ពណ៌</t>
        </is>
      </c>
    </row>
    <row r="16" ht="34" customHeight="1">
      <c r="B16" s="5" t="inlineStr">
        <is>
          <t>Yellow cells — the club fills these in.</t>
        </is>
      </c>
      <c r="C16" s="5" t="inlineStr">
        <is>
          <t>ក្រឡាពណ៌លឿង — ក្លឹបជាអ្នកបំពេញ។</t>
        </is>
      </c>
    </row>
    <row r="17" ht="34" customHeight="1">
      <c r="B17" s="6" t="inlineStr">
        <is>
          <t>Grey cells — calculated automatically.</t>
        </is>
      </c>
      <c r="C17" s="6" t="inlineStr">
        <is>
          <t>ក្រឡាពណ៌ប្រផេះ — គណនាដោយស្វ័យប្រវត្តិ។</t>
        </is>
      </c>
    </row>
    <row r="18" ht="34" customHeight="1">
      <c r="B18" s="7" t="inlineStr">
        <is>
          <t>Blue cells — for KKF staff only.</t>
        </is>
      </c>
      <c r="C18" s="7" t="inlineStr">
        <is>
          <t>ក្រឡាពណ៌ខៀវ — សម្រាប់បុគ្គលិក KKF ប៉ុណ្ណោះ។</t>
        </is>
      </c>
    </row>
    <row r="19" ht="34" customHeight="1">
      <c r="B19" s="8" t="inlineStr">
        <is>
          <t>Red cells — a required value is missing in a row you started.</t>
        </is>
      </c>
      <c r="C19" s="8" t="inlineStr">
        <is>
          <t>ក្រឡាពណ៌ក្រហម — ខ្វះព័ត៌មានដែលត្រូវតែបំពេញ ក្នុងជួរដែលអ្នកបានចាប់ផ្តើម។</t>
        </is>
      </c>
    </row>
    <row r="20" ht="22" customHeight="1">
      <c r="B20" s="4" t="inlineStr"/>
      <c r="C20" s="4" t="inlineStr"/>
    </row>
    <row r="21" ht="22" customHeight="1">
      <c r="B21" s="3" t="inlineStr">
        <is>
          <t>Privacy</t>
        </is>
      </c>
      <c r="C21" s="3" t="inlineStr">
        <is>
          <t>ភាពឯកជន</t>
        </is>
      </c>
    </row>
    <row r="22" ht="34" customHeight="1">
      <c r="B22" s="4" t="inlineStr">
        <is>
          <t>This file holds personal details (ID, phone, medical). Send it only to KKF and don't share it elsewhere.</t>
        </is>
      </c>
      <c r="C22" s="4" t="inlineStr">
        <is>
          <t>ឯកសារនេះមានព័ត៌មានផ្ទាល់ខ្លួន (អត្តសញ្ញាណ ទូរស័ព្ទ សុខភាព)។ សូមផ្ញើទៅ KKF តែប៉ុណ្ណោះ ហើយកុំចែករំលែកទៅកន្លែងផ្សេង។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12"/>
  <sheetViews>
    <sheetView showGridLines="0" workbookViewId="0">
      <selection activeCell="A1" sqref="A1"/>
    </sheetView>
  </sheetViews>
  <sheetFormatPr baseColWidth="8" defaultRowHeight="15"/>
  <cols>
    <col width="4" customWidth="1" min="1" max="1"/>
    <col width="42" customWidth="1" min="2" max="2"/>
    <col width="46" customWidth="1" min="3" max="3"/>
    <col width="34" customWidth="1" min="4" max="4"/>
  </cols>
  <sheetData>
    <row r="2">
      <c r="B2" s="2" t="inlineStr">
        <is>
          <t>Club details / ព័ត៌មានក្លឹប</t>
        </is>
      </c>
    </row>
    <row r="3">
      <c r="B3" s="9" t="inlineStr">
        <is>
          <t>Fill in the yellow cells. The grey column shows an example. / សូមបំពេញក្រឡាពណ៌លឿង។ ជួរឈរពណ៌ប្រផេះជាឧទាហរណ៍។</t>
        </is>
      </c>
    </row>
    <row r="4">
      <c r="C4" s="10" t="inlineStr">
        <is>
          <t>Your club / ក្លឹបរបស់អ្នក</t>
        </is>
      </c>
      <c r="D4" s="10" t="inlineStr">
        <is>
          <t>Example / ឧទាហរណ៍</t>
        </is>
      </c>
    </row>
    <row r="5" ht="34" customHeight="1">
      <c r="B5" s="11" t="inlineStr">
        <is>
          <t>Club name (English) *
ឈ្មោះក្លឹប (អង់គ្លេស)</t>
        </is>
      </c>
      <c r="C5" s="12" t="n"/>
      <c r="D5" s="13" t="inlineStr">
        <is>
          <t>Sok Dara Kun Khmer Club</t>
        </is>
      </c>
    </row>
    <row r="6" ht="34" customHeight="1">
      <c r="B6" s="11" t="inlineStr">
        <is>
          <t>Club name (Khmer) *
ឈ្មោះក្លឹប (ខ្មែរ)</t>
        </is>
      </c>
      <c r="C6" s="12" t="n"/>
      <c r="D6" s="13" t="inlineStr">
        <is>
          <t>ក្លឹបគុនខ្មែរ សុខ ដារ៉ា</t>
        </is>
      </c>
    </row>
    <row r="7" ht="34" customHeight="1">
      <c r="B7" s="11" t="inlineStr">
        <is>
          <t>Province *
ខេត្ត</t>
        </is>
      </c>
      <c r="C7" s="12" t="n"/>
      <c r="D7" s="13" t="inlineStr">
        <is>
          <t>Kampong Cham / កំពង់ចាម</t>
        </is>
      </c>
    </row>
    <row r="8" ht="34" customHeight="1">
      <c r="B8" s="11" t="inlineStr">
        <is>
          <t>Head coach
គ្រូបង្វឹកជាន់ខ្ពស់</t>
        </is>
      </c>
      <c r="C8" s="12" t="n"/>
      <c r="D8" s="13" t="inlineStr">
        <is>
          <t>Chan Vuthy</t>
        </is>
      </c>
    </row>
    <row r="9" ht="34" customHeight="1">
      <c r="B9" s="11" t="inlineStr">
        <is>
          <t>Contact person *
អ្នកទំនាក់ទំនង</t>
        </is>
      </c>
      <c r="C9" s="12" t="n"/>
      <c r="D9" s="13" t="inlineStr">
        <is>
          <t>Sok Dara</t>
        </is>
      </c>
    </row>
    <row r="10" ht="34" customHeight="1">
      <c r="B10" s="11" t="inlineStr">
        <is>
          <t>Contact phone *
លេខទូរស័ព្ទទំនាក់ទំនង</t>
        </is>
      </c>
      <c r="C10" s="14" t="n"/>
      <c r="D10" s="13" t="inlineStr">
        <is>
          <t>012 345 678</t>
        </is>
      </c>
    </row>
    <row r="11" ht="34" customHeight="1">
      <c r="B11" s="11" t="inlineStr">
        <is>
          <t>Email
អ៊ីមែល</t>
        </is>
      </c>
      <c r="C11" s="12" t="n"/>
      <c r="D11" s="13" t="inlineStr">
        <is>
          <t>club@example.com</t>
        </is>
      </c>
    </row>
    <row r="12" ht="34" customHeight="1">
      <c r="B12" s="11" t="inlineStr">
        <is>
          <t>Date sent (DD/MM/YYYY)
កាលបរិច្ឆេទផ្ញើ</t>
        </is>
      </c>
      <c r="C12" s="15" t="n"/>
      <c r="D12" s="13" t="inlineStr">
        <is>
          <t>28/09/2026</t>
        </is>
      </c>
    </row>
  </sheetData>
  <dataValidations count="2">
    <dataValidation sqref="C7" showDropDown="0" showInputMessage="0" showErrorMessage="0" allowBlank="1" type="list">
      <formula1>=Lists!$C$2:$C$26</formula1>
    </dataValidation>
    <dataValidation sqref="C12" showDropDown="0" showInputMessage="0" showErrorMessage="0" allowBlank="1" errorTitle="Date" error="Please enter a date, e.g. 14/05/2026." type="date" operator="between">
      <formula1>DATE(2020,1,1)</formula1>
      <formula2>DATE(2100,12,31)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AD5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22" customWidth="1" min="3" max="3"/>
    <col width="16" customWidth="1" min="4" max="4"/>
    <col width="15" customWidth="1" min="5" max="5"/>
    <col width="15" customWidth="1" min="6" max="6"/>
    <col width="9" customWidth="1" min="7" max="7"/>
    <col width="20" customWidth="1" min="8" max="8"/>
    <col width="18" customWidth="1" min="9" max="9"/>
    <col width="24" customWidth="1" min="10" max="10"/>
    <col width="11" customWidth="1" min="11" max="11"/>
    <col width="16" customWidth="1" min="12" max="12"/>
    <col width="11" customWidth="1" min="13" max="13"/>
    <col width="16" customWidth="1" min="14" max="14"/>
    <col width="20" customWidth="1" min="15" max="15"/>
    <col width="8" customWidth="1" min="16" max="16"/>
    <col width="8" customWidth="1" min="17" max="17"/>
    <col width="8" customWidth="1" min="18" max="18"/>
    <col width="13" customWidth="1" min="19" max="19"/>
    <col width="22" customWidth="1" min="20" max="20"/>
    <col width="18" customWidth="1" min="21" max="21"/>
    <col width="14" customWidth="1" min="22" max="22"/>
    <col width="15" customWidth="1" min="23" max="23"/>
    <col width="22" customWidth="1" min="24" max="24"/>
    <col width="14" customWidth="1" min="25" max="25"/>
    <col width="15" customWidth="1" min="26" max="26"/>
    <col width="15" customWidth="1" min="27" max="27"/>
    <col width="24" customWidth="1" min="28" max="28"/>
    <col width="24" customWidth="1" min="29" max="29"/>
    <col width="16" customWidth="1" min="30" max="30"/>
  </cols>
  <sheetData>
    <row r="1" ht="24" customHeight="1">
      <c r="A1" s="16" t="inlineStr">
        <is>
          <t>Fighters / អ្នកប្រដាល់ — one row per fighter; * = required / ម្នាក់ក្នុងមួយជួរ; * = ត្រូវតែបំពេញ</t>
        </is>
      </c>
    </row>
    <row r="2" ht="58" customHeight="1">
      <c r="A2" s="17" t="inlineStr">
        <is>
          <t>No.
ល.រ</t>
        </is>
      </c>
      <c r="B2" s="18" t="inlineStr">
        <is>
          <t>Name (English) *
ឈ្មោះ (អង់គ្លេស)</t>
        </is>
      </c>
      <c r="C2" s="18" t="inlineStr">
        <is>
          <t>Name (Khmer) *
ឈ្មោះ (ខ្មែរ)</t>
        </is>
      </c>
      <c r="D2" s="18" t="inlineStr">
        <is>
          <t>Nickname
ឈ្មោះហៅក្រៅ</t>
        </is>
      </c>
      <c r="E2" s="18" t="inlineStr">
        <is>
          <t>Gender *
ភេទ</t>
        </is>
      </c>
      <c r="F2" s="18" t="inlineStr">
        <is>
          <t>Date of birth *
(DD/MM/YYYY)
ថ្ងៃខែឆ្នាំកំណើត</t>
        </is>
      </c>
      <c r="G2" s="17" t="inlineStr">
        <is>
          <t>Age
(automatic)
អាយុ</t>
        </is>
      </c>
      <c r="H2" s="18" t="inlineStr">
        <is>
          <t>Place of birth
ទីកន្លែងកំណើត</t>
        </is>
      </c>
      <c r="I2" s="18" t="inlineStr">
        <is>
          <t>Nationality *
សញ្ជាតិ</t>
        </is>
      </c>
      <c r="J2" s="18" t="inlineStr">
        <is>
          <t>Province
ខេត្ត</t>
        </is>
      </c>
      <c r="K2" s="18" t="inlineStr">
        <is>
          <t>Weight (kg) *
ទម្ងន់ (គ.ក)</t>
        </is>
      </c>
      <c r="L2" s="17" t="inlineStr">
        <is>
          <t>Weight class
(automatic)
ថ្នាក់ទម្ងន់</t>
        </is>
      </c>
      <c r="M2" s="18" t="inlineStr">
        <is>
          <t>Height (cm) *
កម្ពស់ (ស.ម)</t>
        </is>
      </c>
      <c r="N2" s="18" t="inlineStr">
        <is>
          <t>Fighting style
រចនាបថប្រកួត</t>
        </is>
      </c>
      <c r="O2" s="18" t="inlineStr">
        <is>
          <t>Professional / Amateur
អាជីព / ស្ម័គ្រចិត្ត</t>
        </is>
      </c>
      <c r="P2" s="18" t="inlineStr">
        <is>
          <t>Wins
ឈ្នះ</t>
        </is>
      </c>
      <c r="Q2" s="18" t="inlineStr">
        <is>
          <t>Losses
ចាញ់</t>
        </is>
      </c>
      <c r="R2" s="18" t="inlineStr">
        <is>
          <t>Draws
ស្មើ</t>
        </is>
      </c>
      <c r="S2" s="17" t="inlineStr">
        <is>
          <t>Record W-L-D
(automatic)
កំណត់ត្រា</t>
        </is>
      </c>
      <c r="T2" s="18" t="inlineStr">
        <is>
          <t>ID type
ប្រភេទឯកសារ</t>
        </is>
      </c>
      <c r="U2" s="18" t="inlineStr">
        <is>
          <t>ID / passport number
លេខឯកសារ</t>
        </is>
      </c>
      <c r="V2" s="18" t="inlineStr">
        <is>
          <t>ID expiry
(DD/MM/YYYY)
ថ្ងៃផុតកំណត់</t>
        </is>
      </c>
      <c r="W2" s="18" t="inlineStr">
        <is>
          <t>Phone
លេខទូរស័ព្ទ</t>
        </is>
      </c>
      <c r="X2" s="18" t="inlineStr">
        <is>
          <t>Emergency contact name
ឈ្មោះអ្នកទំនាក់ទំនងបន្ទាន់</t>
        </is>
      </c>
      <c r="Y2" s="18" t="inlineStr">
        <is>
          <t>Relationship
ត្រូវជា</t>
        </is>
      </c>
      <c r="Z2" s="18" t="inlineStr">
        <is>
          <t>Emergency phone
ទូរស័ព្ទបន្ទាន់</t>
        </is>
      </c>
      <c r="AA2" s="18" t="inlineStr">
        <is>
          <t>Last medical check
(DD/MM/YYYY)
ការពិនិត្យសុខភាពចុងក្រោយ</t>
        </is>
      </c>
      <c r="AB2" s="18" t="inlineStr">
        <is>
          <t>Medical conditions / allergies
ជំងឺ / អាឡែហ្ស៊ី</t>
        </is>
      </c>
      <c r="AC2" s="18" t="inlineStr">
        <is>
          <t>Notes
កំណត់សម្គាល់</t>
        </is>
      </c>
      <c r="AD2" s="19" t="inlineStr">
        <is>
          <t>Registered in system
(KKF use)
បានចុះក្នុងប្រព័ន្ធ</t>
        </is>
      </c>
    </row>
    <row r="3">
      <c r="A3" s="20" t="inlineStr">
        <is>
          <t>e.g.</t>
        </is>
      </c>
      <c r="B3" s="21" t="inlineStr">
        <is>
          <t>Sok Dara</t>
        </is>
      </c>
      <c r="C3" s="21" t="inlineStr">
        <is>
          <t>សុខ ដារ៉ា</t>
        </is>
      </c>
      <c r="D3" s="21" t="inlineStr">
        <is>
          <t>Tiger</t>
        </is>
      </c>
      <c r="E3" s="22" t="inlineStr">
        <is>
          <t>Male / ប្រុស</t>
        </is>
      </c>
      <c r="F3" s="23" t="n">
        <v>37755</v>
      </c>
      <c r="G3" s="20">
        <f>IF(F3="","",DATEDIF(F3,TODAY(),"Y"))</f>
        <v/>
      </c>
      <c r="H3" s="21" t="inlineStr">
        <is>
          <t>Kampong Cham</t>
        </is>
      </c>
      <c r="I3" s="22" t="inlineStr">
        <is>
          <t>Cambodian / ខ្មែរ</t>
        </is>
      </c>
      <c r="J3" s="22" t="inlineStr">
        <is>
          <t>Kampong Cham / កំពង់ចាម</t>
        </is>
      </c>
      <c r="K3" s="24" t="n">
        <v>60.5</v>
      </c>
      <c r="L3" s="20">
        <f>IF(K3="","",INDEX(Lists!$H$2:$H$15,COUNTIF(Lists!$I$2:$I$14,"&lt;"&amp;K3)+1))</f>
        <v/>
      </c>
      <c r="M3" s="24" t="n">
        <v>172</v>
      </c>
      <c r="N3" s="21" t="inlineStr">
        <is>
          <t>Kun Khmer</t>
        </is>
      </c>
      <c r="O3" s="22" t="inlineStr">
        <is>
          <t>Professional / អាជីព</t>
        </is>
      </c>
      <c r="P3" s="22" t="n">
        <v>12</v>
      </c>
      <c r="Q3" s="22" t="n">
        <v>3</v>
      </c>
      <c r="R3" s="22" t="n">
        <v>1</v>
      </c>
      <c r="S3" s="20">
        <f>IF(AND(P3="",Q3="",R3=""),"",N(P3)&amp;"-"&amp;N(Q3)&amp;"-"&amp;N(R3))</f>
        <v/>
      </c>
      <c r="T3" s="22" t="inlineStr">
        <is>
          <t>National ID / អត្តសញ្ញាណប័ណ្ណ</t>
        </is>
      </c>
      <c r="U3" s="25" t="inlineStr">
        <is>
          <t>010203040</t>
        </is>
      </c>
      <c r="V3" s="23" t="n">
        <v>47514</v>
      </c>
      <c r="W3" s="25" t="inlineStr">
        <is>
          <t>012 345 678</t>
        </is>
      </c>
      <c r="X3" s="21" t="inlineStr">
        <is>
          <t>Sok Chea</t>
        </is>
      </c>
      <c r="Y3" s="21" t="inlineStr">
        <is>
          <t>Father / ឪពុក</t>
        </is>
      </c>
      <c r="Z3" s="25" t="inlineStr">
        <is>
          <t>097 123 4567</t>
        </is>
      </c>
      <c r="AA3" s="23" t="n">
        <v>46254</v>
      </c>
      <c r="AB3" s="21" t="inlineStr">
        <is>
          <t>None / គ្មាន</t>
        </is>
      </c>
      <c r="AC3" s="21" t="n"/>
      <c r="AD3" s="22" t="n"/>
    </row>
    <row r="4">
      <c r="A4" s="26" t="n">
        <v>1</v>
      </c>
      <c r="B4" s="27" t="n"/>
      <c r="C4" s="27" t="n"/>
      <c r="D4" s="27" t="n"/>
      <c r="E4" s="28" t="n"/>
      <c r="F4" s="29" t="n"/>
      <c r="G4" s="26">
        <f>IF(F4="","",DATEDIF(F4,TODAY(),"Y"))</f>
        <v/>
      </c>
      <c r="H4" s="27" t="n"/>
      <c r="I4" s="28" t="n"/>
      <c r="J4" s="28" t="n"/>
      <c r="K4" s="30" t="n"/>
      <c r="L4" s="26">
        <f>IF(K4="","",INDEX(Lists!$H$2:$H$15,COUNTIF(Lists!$I$2:$I$14,"&lt;"&amp;K4)+1))</f>
        <v/>
      </c>
      <c r="M4" s="30" t="n"/>
      <c r="N4" s="27" t="n"/>
      <c r="O4" s="28" t="n"/>
      <c r="P4" s="28" t="n"/>
      <c r="Q4" s="28" t="n"/>
      <c r="R4" s="28" t="n"/>
      <c r="S4" s="26">
        <f>IF(AND(P4="",Q4="",R4=""),"",N(P4)&amp;"-"&amp;N(Q4)&amp;"-"&amp;N(R4))</f>
        <v/>
      </c>
      <c r="T4" s="28" t="n"/>
      <c r="U4" s="31" t="n"/>
      <c r="V4" s="29" t="n"/>
      <c r="W4" s="31" t="n"/>
      <c r="X4" s="27" t="n"/>
      <c r="Y4" s="27" t="n"/>
      <c r="Z4" s="31" t="n"/>
      <c r="AA4" s="29" t="n"/>
      <c r="AB4" s="27" t="n"/>
      <c r="AC4" s="27" t="n"/>
      <c r="AD4" s="32" t="n"/>
    </row>
    <row r="5">
      <c r="A5" s="26" t="n">
        <v>2</v>
      </c>
      <c r="B5" s="27" t="n"/>
      <c r="C5" s="27" t="n"/>
      <c r="D5" s="27" t="n"/>
      <c r="E5" s="28" t="n"/>
      <c r="F5" s="29" t="n"/>
      <c r="G5" s="26">
        <f>IF(F5="","",DATEDIF(F5,TODAY(),"Y"))</f>
        <v/>
      </c>
      <c r="H5" s="27" t="n"/>
      <c r="I5" s="28" t="n"/>
      <c r="J5" s="28" t="n"/>
      <c r="K5" s="30" t="n"/>
      <c r="L5" s="26">
        <f>IF(K5="","",INDEX(Lists!$H$2:$H$15,COUNTIF(Lists!$I$2:$I$14,"&lt;"&amp;K5)+1))</f>
        <v/>
      </c>
      <c r="M5" s="30" t="n"/>
      <c r="N5" s="27" t="n"/>
      <c r="O5" s="28" t="n"/>
      <c r="P5" s="28" t="n"/>
      <c r="Q5" s="28" t="n"/>
      <c r="R5" s="28" t="n"/>
      <c r="S5" s="26">
        <f>IF(AND(P5="",Q5="",R5=""),"",N(P5)&amp;"-"&amp;N(Q5)&amp;"-"&amp;N(R5))</f>
        <v/>
      </c>
      <c r="T5" s="28" t="n"/>
      <c r="U5" s="31" t="n"/>
      <c r="V5" s="29" t="n"/>
      <c r="W5" s="31" t="n"/>
      <c r="X5" s="27" t="n"/>
      <c r="Y5" s="27" t="n"/>
      <c r="Z5" s="31" t="n"/>
      <c r="AA5" s="29" t="n"/>
      <c r="AB5" s="27" t="n"/>
      <c r="AC5" s="27" t="n"/>
      <c r="AD5" s="32" t="n"/>
    </row>
    <row r="6">
      <c r="A6" s="26" t="n">
        <v>3</v>
      </c>
      <c r="B6" s="27" t="n"/>
      <c r="C6" s="27" t="n"/>
      <c r="D6" s="27" t="n"/>
      <c r="E6" s="28" t="n"/>
      <c r="F6" s="29" t="n"/>
      <c r="G6" s="26">
        <f>IF(F6="","",DATEDIF(F6,TODAY(),"Y"))</f>
        <v/>
      </c>
      <c r="H6" s="27" t="n"/>
      <c r="I6" s="28" t="n"/>
      <c r="J6" s="28" t="n"/>
      <c r="K6" s="30" t="n"/>
      <c r="L6" s="26">
        <f>IF(K6="","",INDEX(Lists!$H$2:$H$15,COUNTIF(Lists!$I$2:$I$14,"&lt;"&amp;K6)+1))</f>
        <v/>
      </c>
      <c r="M6" s="30" t="n"/>
      <c r="N6" s="27" t="n"/>
      <c r="O6" s="28" t="n"/>
      <c r="P6" s="28" t="n"/>
      <c r="Q6" s="28" t="n"/>
      <c r="R6" s="28" t="n"/>
      <c r="S6" s="26">
        <f>IF(AND(P6="",Q6="",R6=""),"",N(P6)&amp;"-"&amp;N(Q6)&amp;"-"&amp;N(R6))</f>
        <v/>
      </c>
      <c r="T6" s="28" t="n"/>
      <c r="U6" s="31" t="n"/>
      <c r="V6" s="29" t="n"/>
      <c r="W6" s="31" t="n"/>
      <c r="X6" s="27" t="n"/>
      <c r="Y6" s="27" t="n"/>
      <c r="Z6" s="31" t="n"/>
      <c r="AA6" s="29" t="n"/>
      <c r="AB6" s="27" t="n"/>
      <c r="AC6" s="27" t="n"/>
      <c r="AD6" s="32" t="n"/>
    </row>
    <row r="7">
      <c r="A7" s="26" t="n">
        <v>4</v>
      </c>
      <c r="B7" s="27" t="n"/>
      <c r="C7" s="27" t="n"/>
      <c r="D7" s="27" t="n"/>
      <c r="E7" s="28" t="n"/>
      <c r="F7" s="29" t="n"/>
      <c r="G7" s="26">
        <f>IF(F7="","",DATEDIF(F7,TODAY(),"Y"))</f>
        <v/>
      </c>
      <c r="H7" s="27" t="n"/>
      <c r="I7" s="28" t="n"/>
      <c r="J7" s="28" t="n"/>
      <c r="K7" s="30" t="n"/>
      <c r="L7" s="26">
        <f>IF(K7="","",INDEX(Lists!$H$2:$H$15,COUNTIF(Lists!$I$2:$I$14,"&lt;"&amp;K7)+1))</f>
        <v/>
      </c>
      <c r="M7" s="30" t="n"/>
      <c r="N7" s="27" t="n"/>
      <c r="O7" s="28" t="n"/>
      <c r="P7" s="28" t="n"/>
      <c r="Q7" s="28" t="n"/>
      <c r="R7" s="28" t="n"/>
      <c r="S7" s="26">
        <f>IF(AND(P7="",Q7="",R7=""),"",N(P7)&amp;"-"&amp;N(Q7)&amp;"-"&amp;N(R7))</f>
        <v/>
      </c>
      <c r="T7" s="28" t="n"/>
      <c r="U7" s="31" t="n"/>
      <c r="V7" s="29" t="n"/>
      <c r="W7" s="31" t="n"/>
      <c r="X7" s="27" t="n"/>
      <c r="Y7" s="27" t="n"/>
      <c r="Z7" s="31" t="n"/>
      <c r="AA7" s="29" t="n"/>
      <c r="AB7" s="27" t="n"/>
      <c r="AC7" s="27" t="n"/>
      <c r="AD7" s="32" t="n"/>
    </row>
    <row r="8">
      <c r="A8" s="26" t="n">
        <v>5</v>
      </c>
      <c r="B8" s="27" t="n"/>
      <c r="C8" s="27" t="n"/>
      <c r="D8" s="27" t="n"/>
      <c r="E8" s="28" t="n"/>
      <c r="F8" s="29" t="n"/>
      <c r="G8" s="26">
        <f>IF(F8="","",DATEDIF(F8,TODAY(),"Y"))</f>
        <v/>
      </c>
      <c r="H8" s="27" t="n"/>
      <c r="I8" s="28" t="n"/>
      <c r="J8" s="28" t="n"/>
      <c r="K8" s="30" t="n"/>
      <c r="L8" s="26">
        <f>IF(K8="","",INDEX(Lists!$H$2:$H$15,COUNTIF(Lists!$I$2:$I$14,"&lt;"&amp;K8)+1))</f>
        <v/>
      </c>
      <c r="M8" s="30" t="n"/>
      <c r="N8" s="27" t="n"/>
      <c r="O8" s="28" t="n"/>
      <c r="P8" s="28" t="n"/>
      <c r="Q8" s="28" t="n"/>
      <c r="R8" s="28" t="n"/>
      <c r="S8" s="26">
        <f>IF(AND(P8="",Q8="",R8=""),"",N(P8)&amp;"-"&amp;N(Q8)&amp;"-"&amp;N(R8))</f>
        <v/>
      </c>
      <c r="T8" s="28" t="n"/>
      <c r="U8" s="31" t="n"/>
      <c r="V8" s="29" t="n"/>
      <c r="W8" s="31" t="n"/>
      <c r="X8" s="27" t="n"/>
      <c r="Y8" s="27" t="n"/>
      <c r="Z8" s="31" t="n"/>
      <c r="AA8" s="29" t="n"/>
      <c r="AB8" s="27" t="n"/>
      <c r="AC8" s="27" t="n"/>
      <c r="AD8" s="32" t="n"/>
    </row>
    <row r="9">
      <c r="A9" s="26" t="n">
        <v>6</v>
      </c>
      <c r="B9" s="27" t="n"/>
      <c r="C9" s="27" t="n"/>
      <c r="D9" s="27" t="n"/>
      <c r="E9" s="28" t="n"/>
      <c r="F9" s="29" t="n"/>
      <c r="G9" s="26">
        <f>IF(F9="","",DATEDIF(F9,TODAY(),"Y"))</f>
        <v/>
      </c>
      <c r="H9" s="27" t="n"/>
      <c r="I9" s="28" t="n"/>
      <c r="J9" s="28" t="n"/>
      <c r="K9" s="30" t="n"/>
      <c r="L9" s="26">
        <f>IF(K9="","",INDEX(Lists!$H$2:$H$15,COUNTIF(Lists!$I$2:$I$14,"&lt;"&amp;K9)+1))</f>
        <v/>
      </c>
      <c r="M9" s="30" t="n"/>
      <c r="N9" s="27" t="n"/>
      <c r="O9" s="28" t="n"/>
      <c r="P9" s="28" t="n"/>
      <c r="Q9" s="28" t="n"/>
      <c r="R9" s="28" t="n"/>
      <c r="S9" s="26">
        <f>IF(AND(P9="",Q9="",R9=""),"",N(P9)&amp;"-"&amp;N(Q9)&amp;"-"&amp;N(R9))</f>
        <v/>
      </c>
      <c r="T9" s="28" t="n"/>
      <c r="U9" s="31" t="n"/>
      <c r="V9" s="29" t="n"/>
      <c r="W9" s="31" t="n"/>
      <c r="X9" s="27" t="n"/>
      <c r="Y9" s="27" t="n"/>
      <c r="Z9" s="31" t="n"/>
      <c r="AA9" s="29" t="n"/>
      <c r="AB9" s="27" t="n"/>
      <c r="AC9" s="27" t="n"/>
      <c r="AD9" s="32" t="n"/>
    </row>
    <row r="10">
      <c r="A10" s="26" t="n">
        <v>7</v>
      </c>
      <c r="B10" s="27" t="n"/>
      <c r="C10" s="27" t="n"/>
      <c r="D10" s="27" t="n"/>
      <c r="E10" s="28" t="n"/>
      <c r="F10" s="29" t="n"/>
      <c r="G10" s="26">
        <f>IF(F10="","",DATEDIF(F10,TODAY(),"Y"))</f>
        <v/>
      </c>
      <c r="H10" s="27" t="n"/>
      <c r="I10" s="28" t="n"/>
      <c r="J10" s="28" t="n"/>
      <c r="K10" s="30" t="n"/>
      <c r="L10" s="26">
        <f>IF(K10="","",INDEX(Lists!$H$2:$H$15,COUNTIF(Lists!$I$2:$I$14,"&lt;"&amp;K10)+1))</f>
        <v/>
      </c>
      <c r="M10" s="30" t="n"/>
      <c r="N10" s="27" t="n"/>
      <c r="O10" s="28" t="n"/>
      <c r="P10" s="28" t="n"/>
      <c r="Q10" s="28" t="n"/>
      <c r="R10" s="28" t="n"/>
      <c r="S10" s="26">
        <f>IF(AND(P10="",Q10="",R10=""),"",N(P10)&amp;"-"&amp;N(Q10)&amp;"-"&amp;N(R10))</f>
        <v/>
      </c>
      <c r="T10" s="28" t="n"/>
      <c r="U10" s="31" t="n"/>
      <c r="V10" s="29" t="n"/>
      <c r="W10" s="31" t="n"/>
      <c r="X10" s="27" t="n"/>
      <c r="Y10" s="27" t="n"/>
      <c r="Z10" s="31" t="n"/>
      <c r="AA10" s="29" t="n"/>
      <c r="AB10" s="27" t="n"/>
      <c r="AC10" s="27" t="n"/>
      <c r="AD10" s="32" t="n"/>
    </row>
    <row r="11">
      <c r="A11" s="26" t="n">
        <v>8</v>
      </c>
      <c r="B11" s="27" t="n"/>
      <c r="C11" s="27" t="n"/>
      <c r="D11" s="27" t="n"/>
      <c r="E11" s="28" t="n"/>
      <c r="F11" s="29" t="n"/>
      <c r="G11" s="26">
        <f>IF(F11="","",DATEDIF(F11,TODAY(),"Y"))</f>
        <v/>
      </c>
      <c r="H11" s="27" t="n"/>
      <c r="I11" s="28" t="n"/>
      <c r="J11" s="28" t="n"/>
      <c r="K11" s="30" t="n"/>
      <c r="L11" s="26">
        <f>IF(K11="","",INDEX(Lists!$H$2:$H$15,COUNTIF(Lists!$I$2:$I$14,"&lt;"&amp;K11)+1))</f>
        <v/>
      </c>
      <c r="M11" s="30" t="n"/>
      <c r="N11" s="27" t="n"/>
      <c r="O11" s="28" t="n"/>
      <c r="P11" s="28" t="n"/>
      <c r="Q11" s="28" t="n"/>
      <c r="R11" s="28" t="n"/>
      <c r="S11" s="26">
        <f>IF(AND(P11="",Q11="",R11=""),"",N(P11)&amp;"-"&amp;N(Q11)&amp;"-"&amp;N(R11))</f>
        <v/>
      </c>
      <c r="T11" s="28" t="n"/>
      <c r="U11" s="31" t="n"/>
      <c r="V11" s="29" t="n"/>
      <c r="W11" s="31" t="n"/>
      <c r="X11" s="27" t="n"/>
      <c r="Y11" s="27" t="n"/>
      <c r="Z11" s="31" t="n"/>
      <c r="AA11" s="29" t="n"/>
      <c r="AB11" s="27" t="n"/>
      <c r="AC11" s="27" t="n"/>
      <c r="AD11" s="32" t="n"/>
    </row>
    <row r="12">
      <c r="A12" s="26" t="n">
        <v>9</v>
      </c>
      <c r="B12" s="27" t="n"/>
      <c r="C12" s="27" t="n"/>
      <c r="D12" s="27" t="n"/>
      <c r="E12" s="28" t="n"/>
      <c r="F12" s="29" t="n"/>
      <c r="G12" s="26">
        <f>IF(F12="","",DATEDIF(F12,TODAY(),"Y"))</f>
        <v/>
      </c>
      <c r="H12" s="27" t="n"/>
      <c r="I12" s="28" t="n"/>
      <c r="J12" s="28" t="n"/>
      <c r="K12" s="30" t="n"/>
      <c r="L12" s="26">
        <f>IF(K12="","",INDEX(Lists!$H$2:$H$15,COUNTIF(Lists!$I$2:$I$14,"&lt;"&amp;K12)+1))</f>
        <v/>
      </c>
      <c r="M12" s="30" t="n"/>
      <c r="N12" s="27" t="n"/>
      <c r="O12" s="28" t="n"/>
      <c r="P12" s="28" t="n"/>
      <c r="Q12" s="28" t="n"/>
      <c r="R12" s="28" t="n"/>
      <c r="S12" s="26">
        <f>IF(AND(P12="",Q12="",R12=""),"",N(P12)&amp;"-"&amp;N(Q12)&amp;"-"&amp;N(R12))</f>
        <v/>
      </c>
      <c r="T12" s="28" t="n"/>
      <c r="U12" s="31" t="n"/>
      <c r="V12" s="29" t="n"/>
      <c r="W12" s="31" t="n"/>
      <c r="X12" s="27" t="n"/>
      <c r="Y12" s="27" t="n"/>
      <c r="Z12" s="31" t="n"/>
      <c r="AA12" s="29" t="n"/>
      <c r="AB12" s="27" t="n"/>
      <c r="AC12" s="27" t="n"/>
      <c r="AD12" s="32" t="n"/>
    </row>
    <row r="13">
      <c r="A13" s="26" t="n">
        <v>10</v>
      </c>
      <c r="B13" s="27" t="n"/>
      <c r="C13" s="27" t="n"/>
      <c r="D13" s="27" t="n"/>
      <c r="E13" s="28" t="n"/>
      <c r="F13" s="29" t="n"/>
      <c r="G13" s="26">
        <f>IF(F13="","",DATEDIF(F13,TODAY(),"Y"))</f>
        <v/>
      </c>
      <c r="H13" s="27" t="n"/>
      <c r="I13" s="28" t="n"/>
      <c r="J13" s="28" t="n"/>
      <c r="K13" s="30" t="n"/>
      <c r="L13" s="26">
        <f>IF(K13="","",INDEX(Lists!$H$2:$H$15,COUNTIF(Lists!$I$2:$I$14,"&lt;"&amp;K13)+1))</f>
        <v/>
      </c>
      <c r="M13" s="30" t="n"/>
      <c r="N13" s="27" t="n"/>
      <c r="O13" s="28" t="n"/>
      <c r="P13" s="28" t="n"/>
      <c r="Q13" s="28" t="n"/>
      <c r="R13" s="28" t="n"/>
      <c r="S13" s="26">
        <f>IF(AND(P13="",Q13="",R13=""),"",N(P13)&amp;"-"&amp;N(Q13)&amp;"-"&amp;N(R13))</f>
        <v/>
      </c>
      <c r="T13" s="28" t="n"/>
      <c r="U13" s="31" t="n"/>
      <c r="V13" s="29" t="n"/>
      <c r="W13" s="31" t="n"/>
      <c r="X13" s="27" t="n"/>
      <c r="Y13" s="27" t="n"/>
      <c r="Z13" s="31" t="n"/>
      <c r="AA13" s="29" t="n"/>
      <c r="AB13" s="27" t="n"/>
      <c r="AC13" s="27" t="n"/>
      <c r="AD13" s="32" t="n"/>
    </row>
    <row r="14">
      <c r="A14" s="26" t="n">
        <v>11</v>
      </c>
      <c r="B14" s="27" t="n"/>
      <c r="C14" s="27" t="n"/>
      <c r="D14" s="27" t="n"/>
      <c r="E14" s="28" t="n"/>
      <c r="F14" s="29" t="n"/>
      <c r="G14" s="26">
        <f>IF(F14="","",DATEDIF(F14,TODAY(),"Y"))</f>
        <v/>
      </c>
      <c r="H14" s="27" t="n"/>
      <c r="I14" s="28" t="n"/>
      <c r="J14" s="28" t="n"/>
      <c r="K14" s="30" t="n"/>
      <c r="L14" s="26">
        <f>IF(K14="","",INDEX(Lists!$H$2:$H$15,COUNTIF(Lists!$I$2:$I$14,"&lt;"&amp;K14)+1))</f>
        <v/>
      </c>
      <c r="M14" s="30" t="n"/>
      <c r="N14" s="27" t="n"/>
      <c r="O14" s="28" t="n"/>
      <c r="P14" s="28" t="n"/>
      <c r="Q14" s="28" t="n"/>
      <c r="R14" s="28" t="n"/>
      <c r="S14" s="26">
        <f>IF(AND(P14="",Q14="",R14=""),"",N(P14)&amp;"-"&amp;N(Q14)&amp;"-"&amp;N(R14))</f>
        <v/>
      </c>
      <c r="T14" s="28" t="n"/>
      <c r="U14" s="31" t="n"/>
      <c r="V14" s="29" t="n"/>
      <c r="W14" s="31" t="n"/>
      <c r="X14" s="27" t="n"/>
      <c r="Y14" s="27" t="n"/>
      <c r="Z14" s="31" t="n"/>
      <c r="AA14" s="29" t="n"/>
      <c r="AB14" s="27" t="n"/>
      <c r="AC14" s="27" t="n"/>
      <c r="AD14" s="32" t="n"/>
    </row>
    <row r="15">
      <c r="A15" s="26" t="n">
        <v>12</v>
      </c>
      <c r="B15" s="27" t="n"/>
      <c r="C15" s="27" t="n"/>
      <c r="D15" s="27" t="n"/>
      <c r="E15" s="28" t="n"/>
      <c r="F15" s="29" t="n"/>
      <c r="G15" s="26">
        <f>IF(F15="","",DATEDIF(F15,TODAY(),"Y"))</f>
        <v/>
      </c>
      <c r="H15" s="27" t="n"/>
      <c r="I15" s="28" t="n"/>
      <c r="J15" s="28" t="n"/>
      <c r="K15" s="30" t="n"/>
      <c r="L15" s="26">
        <f>IF(K15="","",INDEX(Lists!$H$2:$H$15,COUNTIF(Lists!$I$2:$I$14,"&lt;"&amp;K15)+1))</f>
        <v/>
      </c>
      <c r="M15" s="30" t="n"/>
      <c r="N15" s="27" t="n"/>
      <c r="O15" s="28" t="n"/>
      <c r="P15" s="28" t="n"/>
      <c r="Q15" s="28" t="n"/>
      <c r="R15" s="28" t="n"/>
      <c r="S15" s="26">
        <f>IF(AND(P15="",Q15="",R15=""),"",N(P15)&amp;"-"&amp;N(Q15)&amp;"-"&amp;N(R15))</f>
        <v/>
      </c>
      <c r="T15" s="28" t="n"/>
      <c r="U15" s="31" t="n"/>
      <c r="V15" s="29" t="n"/>
      <c r="W15" s="31" t="n"/>
      <c r="X15" s="27" t="n"/>
      <c r="Y15" s="27" t="n"/>
      <c r="Z15" s="31" t="n"/>
      <c r="AA15" s="29" t="n"/>
      <c r="AB15" s="27" t="n"/>
      <c r="AC15" s="27" t="n"/>
      <c r="AD15" s="32" t="n"/>
    </row>
    <row r="16">
      <c r="A16" s="26" t="n">
        <v>13</v>
      </c>
      <c r="B16" s="27" t="n"/>
      <c r="C16" s="27" t="n"/>
      <c r="D16" s="27" t="n"/>
      <c r="E16" s="28" t="n"/>
      <c r="F16" s="29" t="n"/>
      <c r="G16" s="26">
        <f>IF(F16="","",DATEDIF(F16,TODAY(),"Y"))</f>
        <v/>
      </c>
      <c r="H16" s="27" t="n"/>
      <c r="I16" s="28" t="n"/>
      <c r="J16" s="28" t="n"/>
      <c r="K16" s="30" t="n"/>
      <c r="L16" s="26">
        <f>IF(K16="","",INDEX(Lists!$H$2:$H$15,COUNTIF(Lists!$I$2:$I$14,"&lt;"&amp;K16)+1))</f>
        <v/>
      </c>
      <c r="M16" s="30" t="n"/>
      <c r="N16" s="27" t="n"/>
      <c r="O16" s="28" t="n"/>
      <c r="P16" s="28" t="n"/>
      <c r="Q16" s="28" t="n"/>
      <c r="R16" s="28" t="n"/>
      <c r="S16" s="26">
        <f>IF(AND(P16="",Q16="",R16=""),"",N(P16)&amp;"-"&amp;N(Q16)&amp;"-"&amp;N(R16))</f>
        <v/>
      </c>
      <c r="T16" s="28" t="n"/>
      <c r="U16" s="31" t="n"/>
      <c r="V16" s="29" t="n"/>
      <c r="W16" s="31" t="n"/>
      <c r="X16" s="27" t="n"/>
      <c r="Y16" s="27" t="n"/>
      <c r="Z16" s="31" t="n"/>
      <c r="AA16" s="29" t="n"/>
      <c r="AB16" s="27" t="n"/>
      <c r="AC16" s="27" t="n"/>
      <c r="AD16" s="32" t="n"/>
    </row>
    <row r="17">
      <c r="A17" s="26" t="n">
        <v>14</v>
      </c>
      <c r="B17" s="27" t="n"/>
      <c r="C17" s="27" t="n"/>
      <c r="D17" s="27" t="n"/>
      <c r="E17" s="28" t="n"/>
      <c r="F17" s="29" t="n"/>
      <c r="G17" s="26">
        <f>IF(F17="","",DATEDIF(F17,TODAY(),"Y"))</f>
        <v/>
      </c>
      <c r="H17" s="27" t="n"/>
      <c r="I17" s="28" t="n"/>
      <c r="J17" s="28" t="n"/>
      <c r="K17" s="30" t="n"/>
      <c r="L17" s="26">
        <f>IF(K17="","",INDEX(Lists!$H$2:$H$15,COUNTIF(Lists!$I$2:$I$14,"&lt;"&amp;K17)+1))</f>
        <v/>
      </c>
      <c r="M17" s="30" t="n"/>
      <c r="N17" s="27" t="n"/>
      <c r="O17" s="28" t="n"/>
      <c r="P17" s="28" t="n"/>
      <c r="Q17" s="28" t="n"/>
      <c r="R17" s="28" t="n"/>
      <c r="S17" s="26">
        <f>IF(AND(P17="",Q17="",R17=""),"",N(P17)&amp;"-"&amp;N(Q17)&amp;"-"&amp;N(R17))</f>
        <v/>
      </c>
      <c r="T17" s="28" t="n"/>
      <c r="U17" s="31" t="n"/>
      <c r="V17" s="29" t="n"/>
      <c r="W17" s="31" t="n"/>
      <c r="X17" s="27" t="n"/>
      <c r="Y17" s="27" t="n"/>
      <c r="Z17" s="31" t="n"/>
      <c r="AA17" s="29" t="n"/>
      <c r="AB17" s="27" t="n"/>
      <c r="AC17" s="27" t="n"/>
      <c r="AD17" s="32" t="n"/>
    </row>
    <row r="18">
      <c r="A18" s="26" t="n">
        <v>15</v>
      </c>
      <c r="B18" s="27" t="n"/>
      <c r="C18" s="27" t="n"/>
      <c r="D18" s="27" t="n"/>
      <c r="E18" s="28" t="n"/>
      <c r="F18" s="29" t="n"/>
      <c r="G18" s="26">
        <f>IF(F18="","",DATEDIF(F18,TODAY(),"Y"))</f>
        <v/>
      </c>
      <c r="H18" s="27" t="n"/>
      <c r="I18" s="28" t="n"/>
      <c r="J18" s="28" t="n"/>
      <c r="K18" s="30" t="n"/>
      <c r="L18" s="26">
        <f>IF(K18="","",INDEX(Lists!$H$2:$H$15,COUNTIF(Lists!$I$2:$I$14,"&lt;"&amp;K18)+1))</f>
        <v/>
      </c>
      <c r="M18" s="30" t="n"/>
      <c r="N18" s="27" t="n"/>
      <c r="O18" s="28" t="n"/>
      <c r="P18" s="28" t="n"/>
      <c r="Q18" s="28" t="n"/>
      <c r="R18" s="28" t="n"/>
      <c r="S18" s="26">
        <f>IF(AND(P18="",Q18="",R18=""),"",N(P18)&amp;"-"&amp;N(Q18)&amp;"-"&amp;N(R18))</f>
        <v/>
      </c>
      <c r="T18" s="28" t="n"/>
      <c r="U18" s="31" t="n"/>
      <c r="V18" s="29" t="n"/>
      <c r="W18" s="31" t="n"/>
      <c r="X18" s="27" t="n"/>
      <c r="Y18" s="27" t="n"/>
      <c r="Z18" s="31" t="n"/>
      <c r="AA18" s="29" t="n"/>
      <c r="AB18" s="27" t="n"/>
      <c r="AC18" s="27" t="n"/>
      <c r="AD18" s="32" t="n"/>
    </row>
    <row r="19">
      <c r="A19" s="26" t="n">
        <v>16</v>
      </c>
      <c r="B19" s="27" t="n"/>
      <c r="C19" s="27" t="n"/>
      <c r="D19" s="27" t="n"/>
      <c r="E19" s="28" t="n"/>
      <c r="F19" s="29" t="n"/>
      <c r="G19" s="26">
        <f>IF(F19="","",DATEDIF(F19,TODAY(),"Y"))</f>
        <v/>
      </c>
      <c r="H19" s="27" t="n"/>
      <c r="I19" s="28" t="n"/>
      <c r="J19" s="28" t="n"/>
      <c r="K19" s="30" t="n"/>
      <c r="L19" s="26">
        <f>IF(K19="","",INDEX(Lists!$H$2:$H$15,COUNTIF(Lists!$I$2:$I$14,"&lt;"&amp;K19)+1))</f>
        <v/>
      </c>
      <c r="M19" s="30" t="n"/>
      <c r="N19" s="27" t="n"/>
      <c r="O19" s="28" t="n"/>
      <c r="P19" s="28" t="n"/>
      <c r="Q19" s="28" t="n"/>
      <c r="R19" s="28" t="n"/>
      <c r="S19" s="26">
        <f>IF(AND(P19="",Q19="",R19=""),"",N(P19)&amp;"-"&amp;N(Q19)&amp;"-"&amp;N(R19))</f>
        <v/>
      </c>
      <c r="T19" s="28" t="n"/>
      <c r="U19" s="31" t="n"/>
      <c r="V19" s="29" t="n"/>
      <c r="W19" s="31" t="n"/>
      <c r="X19" s="27" t="n"/>
      <c r="Y19" s="27" t="n"/>
      <c r="Z19" s="31" t="n"/>
      <c r="AA19" s="29" t="n"/>
      <c r="AB19" s="27" t="n"/>
      <c r="AC19" s="27" t="n"/>
      <c r="AD19" s="32" t="n"/>
    </row>
    <row r="20">
      <c r="A20" s="26" t="n">
        <v>17</v>
      </c>
      <c r="B20" s="27" t="n"/>
      <c r="C20" s="27" t="n"/>
      <c r="D20" s="27" t="n"/>
      <c r="E20" s="28" t="n"/>
      <c r="F20" s="29" t="n"/>
      <c r="G20" s="26">
        <f>IF(F20="","",DATEDIF(F20,TODAY(),"Y"))</f>
        <v/>
      </c>
      <c r="H20" s="27" t="n"/>
      <c r="I20" s="28" t="n"/>
      <c r="J20" s="28" t="n"/>
      <c r="K20" s="30" t="n"/>
      <c r="L20" s="26">
        <f>IF(K20="","",INDEX(Lists!$H$2:$H$15,COUNTIF(Lists!$I$2:$I$14,"&lt;"&amp;K20)+1))</f>
        <v/>
      </c>
      <c r="M20" s="30" t="n"/>
      <c r="N20" s="27" t="n"/>
      <c r="O20" s="28" t="n"/>
      <c r="P20" s="28" t="n"/>
      <c r="Q20" s="28" t="n"/>
      <c r="R20" s="28" t="n"/>
      <c r="S20" s="26">
        <f>IF(AND(P20="",Q20="",R20=""),"",N(P20)&amp;"-"&amp;N(Q20)&amp;"-"&amp;N(R20))</f>
        <v/>
      </c>
      <c r="T20" s="28" t="n"/>
      <c r="U20" s="31" t="n"/>
      <c r="V20" s="29" t="n"/>
      <c r="W20" s="31" t="n"/>
      <c r="X20" s="27" t="n"/>
      <c r="Y20" s="27" t="n"/>
      <c r="Z20" s="31" t="n"/>
      <c r="AA20" s="29" t="n"/>
      <c r="AB20" s="27" t="n"/>
      <c r="AC20" s="27" t="n"/>
      <c r="AD20" s="32" t="n"/>
    </row>
    <row r="21">
      <c r="A21" s="26" t="n">
        <v>18</v>
      </c>
      <c r="B21" s="27" t="n"/>
      <c r="C21" s="27" t="n"/>
      <c r="D21" s="27" t="n"/>
      <c r="E21" s="28" t="n"/>
      <c r="F21" s="29" t="n"/>
      <c r="G21" s="26">
        <f>IF(F21="","",DATEDIF(F21,TODAY(),"Y"))</f>
        <v/>
      </c>
      <c r="H21" s="27" t="n"/>
      <c r="I21" s="28" t="n"/>
      <c r="J21" s="28" t="n"/>
      <c r="K21" s="30" t="n"/>
      <c r="L21" s="26">
        <f>IF(K21="","",INDEX(Lists!$H$2:$H$15,COUNTIF(Lists!$I$2:$I$14,"&lt;"&amp;K21)+1))</f>
        <v/>
      </c>
      <c r="M21" s="30" t="n"/>
      <c r="N21" s="27" t="n"/>
      <c r="O21" s="28" t="n"/>
      <c r="P21" s="28" t="n"/>
      <c r="Q21" s="28" t="n"/>
      <c r="R21" s="28" t="n"/>
      <c r="S21" s="26">
        <f>IF(AND(P21="",Q21="",R21=""),"",N(P21)&amp;"-"&amp;N(Q21)&amp;"-"&amp;N(R21))</f>
        <v/>
      </c>
      <c r="T21" s="28" t="n"/>
      <c r="U21" s="31" t="n"/>
      <c r="V21" s="29" t="n"/>
      <c r="W21" s="31" t="n"/>
      <c r="X21" s="27" t="n"/>
      <c r="Y21" s="27" t="n"/>
      <c r="Z21" s="31" t="n"/>
      <c r="AA21" s="29" t="n"/>
      <c r="AB21" s="27" t="n"/>
      <c r="AC21" s="27" t="n"/>
      <c r="AD21" s="32" t="n"/>
    </row>
    <row r="22">
      <c r="A22" s="26" t="n">
        <v>19</v>
      </c>
      <c r="B22" s="27" t="n"/>
      <c r="C22" s="27" t="n"/>
      <c r="D22" s="27" t="n"/>
      <c r="E22" s="28" t="n"/>
      <c r="F22" s="29" t="n"/>
      <c r="G22" s="26">
        <f>IF(F22="","",DATEDIF(F22,TODAY(),"Y"))</f>
        <v/>
      </c>
      <c r="H22" s="27" t="n"/>
      <c r="I22" s="28" t="n"/>
      <c r="J22" s="28" t="n"/>
      <c r="K22" s="30" t="n"/>
      <c r="L22" s="26">
        <f>IF(K22="","",INDEX(Lists!$H$2:$H$15,COUNTIF(Lists!$I$2:$I$14,"&lt;"&amp;K22)+1))</f>
        <v/>
      </c>
      <c r="M22" s="30" t="n"/>
      <c r="N22" s="27" t="n"/>
      <c r="O22" s="28" t="n"/>
      <c r="P22" s="28" t="n"/>
      <c r="Q22" s="28" t="n"/>
      <c r="R22" s="28" t="n"/>
      <c r="S22" s="26">
        <f>IF(AND(P22="",Q22="",R22=""),"",N(P22)&amp;"-"&amp;N(Q22)&amp;"-"&amp;N(R22))</f>
        <v/>
      </c>
      <c r="T22" s="28" t="n"/>
      <c r="U22" s="31" t="n"/>
      <c r="V22" s="29" t="n"/>
      <c r="W22" s="31" t="n"/>
      <c r="X22" s="27" t="n"/>
      <c r="Y22" s="27" t="n"/>
      <c r="Z22" s="31" t="n"/>
      <c r="AA22" s="29" t="n"/>
      <c r="AB22" s="27" t="n"/>
      <c r="AC22" s="27" t="n"/>
      <c r="AD22" s="32" t="n"/>
    </row>
    <row r="23">
      <c r="A23" s="26" t="n">
        <v>20</v>
      </c>
      <c r="B23" s="27" t="n"/>
      <c r="C23" s="27" t="n"/>
      <c r="D23" s="27" t="n"/>
      <c r="E23" s="28" t="n"/>
      <c r="F23" s="29" t="n"/>
      <c r="G23" s="26">
        <f>IF(F23="","",DATEDIF(F23,TODAY(),"Y"))</f>
        <v/>
      </c>
      <c r="H23" s="27" t="n"/>
      <c r="I23" s="28" t="n"/>
      <c r="J23" s="28" t="n"/>
      <c r="K23" s="30" t="n"/>
      <c r="L23" s="26">
        <f>IF(K23="","",INDEX(Lists!$H$2:$H$15,COUNTIF(Lists!$I$2:$I$14,"&lt;"&amp;K23)+1))</f>
        <v/>
      </c>
      <c r="M23" s="30" t="n"/>
      <c r="N23" s="27" t="n"/>
      <c r="O23" s="28" t="n"/>
      <c r="P23" s="28" t="n"/>
      <c r="Q23" s="28" t="n"/>
      <c r="R23" s="28" t="n"/>
      <c r="S23" s="26">
        <f>IF(AND(P23="",Q23="",R23=""),"",N(P23)&amp;"-"&amp;N(Q23)&amp;"-"&amp;N(R23))</f>
        <v/>
      </c>
      <c r="T23" s="28" t="n"/>
      <c r="U23" s="31" t="n"/>
      <c r="V23" s="29" t="n"/>
      <c r="W23" s="31" t="n"/>
      <c r="X23" s="27" t="n"/>
      <c r="Y23" s="27" t="n"/>
      <c r="Z23" s="31" t="n"/>
      <c r="AA23" s="29" t="n"/>
      <c r="AB23" s="27" t="n"/>
      <c r="AC23" s="27" t="n"/>
      <c r="AD23" s="32" t="n"/>
    </row>
    <row r="24">
      <c r="A24" s="26" t="n">
        <v>21</v>
      </c>
      <c r="B24" s="27" t="n"/>
      <c r="C24" s="27" t="n"/>
      <c r="D24" s="27" t="n"/>
      <c r="E24" s="28" t="n"/>
      <c r="F24" s="29" t="n"/>
      <c r="G24" s="26">
        <f>IF(F24="","",DATEDIF(F24,TODAY(),"Y"))</f>
        <v/>
      </c>
      <c r="H24" s="27" t="n"/>
      <c r="I24" s="28" t="n"/>
      <c r="J24" s="28" t="n"/>
      <c r="K24" s="30" t="n"/>
      <c r="L24" s="26">
        <f>IF(K24="","",INDEX(Lists!$H$2:$H$15,COUNTIF(Lists!$I$2:$I$14,"&lt;"&amp;K24)+1))</f>
        <v/>
      </c>
      <c r="M24" s="30" t="n"/>
      <c r="N24" s="27" t="n"/>
      <c r="O24" s="28" t="n"/>
      <c r="P24" s="28" t="n"/>
      <c r="Q24" s="28" t="n"/>
      <c r="R24" s="28" t="n"/>
      <c r="S24" s="26">
        <f>IF(AND(P24="",Q24="",R24=""),"",N(P24)&amp;"-"&amp;N(Q24)&amp;"-"&amp;N(R24))</f>
        <v/>
      </c>
      <c r="T24" s="28" t="n"/>
      <c r="U24" s="31" t="n"/>
      <c r="V24" s="29" t="n"/>
      <c r="W24" s="31" t="n"/>
      <c r="X24" s="27" t="n"/>
      <c r="Y24" s="27" t="n"/>
      <c r="Z24" s="31" t="n"/>
      <c r="AA24" s="29" t="n"/>
      <c r="AB24" s="27" t="n"/>
      <c r="AC24" s="27" t="n"/>
      <c r="AD24" s="32" t="n"/>
    </row>
    <row r="25">
      <c r="A25" s="26" t="n">
        <v>22</v>
      </c>
      <c r="B25" s="27" t="n"/>
      <c r="C25" s="27" t="n"/>
      <c r="D25" s="27" t="n"/>
      <c r="E25" s="28" t="n"/>
      <c r="F25" s="29" t="n"/>
      <c r="G25" s="26">
        <f>IF(F25="","",DATEDIF(F25,TODAY(),"Y"))</f>
        <v/>
      </c>
      <c r="H25" s="27" t="n"/>
      <c r="I25" s="28" t="n"/>
      <c r="J25" s="28" t="n"/>
      <c r="K25" s="30" t="n"/>
      <c r="L25" s="26">
        <f>IF(K25="","",INDEX(Lists!$H$2:$H$15,COUNTIF(Lists!$I$2:$I$14,"&lt;"&amp;K25)+1))</f>
        <v/>
      </c>
      <c r="M25" s="30" t="n"/>
      <c r="N25" s="27" t="n"/>
      <c r="O25" s="28" t="n"/>
      <c r="P25" s="28" t="n"/>
      <c r="Q25" s="28" t="n"/>
      <c r="R25" s="28" t="n"/>
      <c r="S25" s="26">
        <f>IF(AND(P25="",Q25="",R25=""),"",N(P25)&amp;"-"&amp;N(Q25)&amp;"-"&amp;N(R25))</f>
        <v/>
      </c>
      <c r="T25" s="28" t="n"/>
      <c r="U25" s="31" t="n"/>
      <c r="V25" s="29" t="n"/>
      <c r="W25" s="31" t="n"/>
      <c r="X25" s="27" t="n"/>
      <c r="Y25" s="27" t="n"/>
      <c r="Z25" s="31" t="n"/>
      <c r="AA25" s="29" t="n"/>
      <c r="AB25" s="27" t="n"/>
      <c r="AC25" s="27" t="n"/>
      <c r="AD25" s="32" t="n"/>
    </row>
    <row r="26">
      <c r="A26" s="26" t="n">
        <v>23</v>
      </c>
      <c r="B26" s="27" t="n"/>
      <c r="C26" s="27" t="n"/>
      <c r="D26" s="27" t="n"/>
      <c r="E26" s="28" t="n"/>
      <c r="F26" s="29" t="n"/>
      <c r="G26" s="26">
        <f>IF(F26="","",DATEDIF(F26,TODAY(),"Y"))</f>
        <v/>
      </c>
      <c r="H26" s="27" t="n"/>
      <c r="I26" s="28" t="n"/>
      <c r="J26" s="28" t="n"/>
      <c r="K26" s="30" t="n"/>
      <c r="L26" s="26">
        <f>IF(K26="","",INDEX(Lists!$H$2:$H$15,COUNTIF(Lists!$I$2:$I$14,"&lt;"&amp;K26)+1))</f>
        <v/>
      </c>
      <c r="M26" s="30" t="n"/>
      <c r="N26" s="27" t="n"/>
      <c r="O26" s="28" t="n"/>
      <c r="P26" s="28" t="n"/>
      <c r="Q26" s="28" t="n"/>
      <c r="R26" s="28" t="n"/>
      <c r="S26" s="26">
        <f>IF(AND(P26="",Q26="",R26=""),"",N(P26)&amp;"-"&amp;N(Q26)&amp;"-"&amp;N(R26))</f>
        <v/>
      </c>
      <c r="T26" s="28" t="n"/>
      <c r="U26" s="31" t="n"/>
      <c r="V26" s="29" t="n"/>
      <c r="W26" s="31" t="n"/>
      <c r="X26" s="27" t="n"/>
      <c r="Y26" s="27" t="n"/>
      <c r="Z26" s="31" t="n"/>
      <c r="AA26" s="29" t="n"/>
      <c r="AB26" s="27" t="n"/>
      <c r="AC26" s="27" t="n"/>
      <c r="AD26" s="32" t="n"/>
    </row>
    <row r="27">
      <c r="A27" s="26" t="n">
        <v>24</v>
      </c>
      <c r="B27" s="27" t="n"/>
      <c r="C27" s="27" t="n"/>
      <c r="D27" s="27" t="n"/>
      <c r="E27" s="28" t="n"/>
      <c r="F27" s="29" t="n"/>
      <c r="G27" s="26">
        <f>IF(F27="","",DATEDIF(F27,TODAY(),"Y"))</f>
        <v/>
      </c>
      <c r="H27" s="27" t="n"/>
      <c r="I27" s="28" t="n"/>
      <c r="J27" s="28" t="n"/>
      <c r="K27" s="30" t="n"/>
      <c r="L27" s="26">
        <f>IF(K27="","",INDEX(Lists!$H$2:$H$15,COUNTIF(Lists!$I$2:$I$14,"&lt;"&amp;K27)+1))</f>
        <v/>
      </c>
      <c r="M27" s="30" t="n"/>
      <c r="N27" s="27" t="n"/>
      <c r="O27" s="28" t="n"/>
      <c r="P27" s="28" t="n"/>
      <c r="Q27" s="28" t="n"/>
      <c r="R27" s="28" t="n"/>
      <c r="S27" s="26">
        <f>IF(AND(P27="",Q27="",R27=""),"",N(P27)&amp;"-"&amp;N(Q27)&amp;"-"&amp;N(R27))</f>
        <v/>
      </c>
      <c r="T27" s="28" t="n"/>
      <c r="U27" s="31" t="n"/>
      <c r="V27" s="29" t="n"/>
      <c r="W27" s="31" t="n"/>
      <c r="X27" s="27" t="n"/>
      <c r="Y27" s="27" t="n"/>
      <c r="Z27" s="31" t="n"/>
      <c r="AA27" s="29" t="n"/>
      <c r="AB27" s="27" t="n"/>
      <c r="AC27" s="27" t="n"/>
      <c r="AD27" s="32" t="n"/>
    </row>
    <row r="28">
      <c r="A28" s="26" t="n">
        <v>25</v>
      </c>
      <c r="B28" s="27" t="n"/>
      <c r="C28" s="27" t="n"/>
      <c r="D28" s="27" t="n"/>
      <c r="E28" s="28" t="n"/>
      <c r="F28" s="29" t="n"/>
      <c r="G28" s="26">
        <f>IF(F28="","",DATEDIF(F28,TODAY(),"Y"))</f>
        <v/>
      </c>
      <c r="H28" s="27" t="n"/>
      <c r="I28" s="28" t="n"/>
      <c r="J28" s="28" t="n"/>
      <c r="K28" s="30" t="n"/>
      <c r="L28" s="26">
        <f>IF(K28="","",INDEX(Lists!$H$2:$H$15,COUNTIF(Lists!$I$2:$I$14,"&lt;"&amp;K28)+1))</f>
        <v/>
      </c>
      <c r="M28" s="30" t="n"/>
      <c r="N28" s="27" t="n"/>
      <c r="O28" s="28" t="n"/>
      <c r="P28" s="28" t="n"/>
      <c r="Q28" s="28" t="n"/>
      <c r="R28" s="28" t="n"/>
      <c r="S28" s="26">
        <f>IF(AND(P28="",Q28="",R28=""),"",N(P28)&amp;"-"&amp;N(Q28)&amp;"-"&amp;N(R28))</f>
        <v/>
      </c>
      <c r="T28" s="28" t="n"/>
      <c r="U28" s="31" t="n"/>
      <c r="V28" s="29" t="n"/>
      <c r="W28" s="31" t="n"/>
      <c r="X28" s="27" t="n"/>
      <c r="Y28" s="27" t="n"/>
      <c r="Z28" s="31" t="n"/>
      <c r="AA28" s="29" t="n"/>
      <c r="AB28" s="27" t="n"/>
      <c r="AC28" s="27" t="n"/>
      <c r="AD28" s="32" t="n"/>
    </row>
    <row r="29">
      <c r="A29" s="26" t="n">
        <v>26</v>
      </c>
      <c r="B29" s="27" t="n"/>
      <c r="C29" s="27" t="n"/>
      <c r="D29" s="27" t="n"/>
      <c r="E29" s="28" t="n"/>
      <c r="F29" s="29" t="n"/>
      <c r="G29" s="26">
        <f>IF(F29="","",DATEDIF(F29,TODAY(),"Y"))</f>
        <v/>
      </c>
      <c r="H29" s="27" t="n"/>
      <c r="I29" s="28" t="n"/>
      <c r="J29" s="28" t="n"/>
      <c r="K29" s="30" t="n"/>
      <c r="L29" s="26">
        <f>IF(K29="","",INDEX(Lists!$H$2:$H$15,COUNTIF(Lists!$I$2:$I$14,"&lt;"&amp;K29)+1))</f>
        <v/>
      </c>
      <c r="M29" s="30" t="n"/>
      <c r="N29" s="27" t="n"/>
      <c r="O29" s="28" t="n"/>
      <c r="P29" s="28" t="n"/>
      <c r="Q29" s="28" t="n"/>
      <c r="R29" s="28" t="n"/>
      <c r="S29" s="26">
        <f>IF(AND(P29="",Q29="",R29=""),"",N(P29)&amp;"-"&amp;N(Q29)&amp;"-"&amp;N(R29))</f>
        <v/>
      </c>
      <c r="T29" s="28" t="n"/>
      <c r="U29" s="31" t="n"/>
      <c r="V29" s="29" t="n"/>
      <c r="W29" s="31" t="n"/>
      <c r="X29" s="27" t="n"/>
      <c r="Y29" s="27" t="n"/>
      <c r="Z29" s="31" t="n"/>
      <c r="AA29" s="29" t="n"/>
      <c r="AB29" s="27" t="n"/>
      <c r="AC29" s="27" t="n"/>
      <c r="AD29" s="32" t="n"/>
    </row>
    <row r="30">
      <c r="A30" s="26" t="n">
        <v>27</v>
      </c>
      <c r="B30" s="27" t="n"/>
      <c r="C30" s="27" t="n"/>
      <c r="D30" s="27" t="n"/>
      <c r="E30" s="28" t="n"/>
      <c r="F30" s="29" t="n"/>
      <c r="G30" s="26">
        <f>IF(F30="","",DATEDIF(F30,TODAY(),"Y"))</f>
        <v/>
      </c>
      <c r="H30" s="27" t="n"/>
      <c r="I30" s="28" t="n"/>
      <c r="J30" s="28" t="n"/>
      <c r="K30" s="30" t="n"/>
      <c r="L30" s="26">
        <f>IF(K30="","",INDEX(Lists!$H$2:$H$15,COUNTIF(Lists!$I$2:$I$14,"&lt;"&amp;K30)+1))</f>
        <v/>
      </c>
      <c r="M30" s="30" t="n"/>
      <c r="N30" s="27" t="n"/>
      <c r="O30" s="28" t="n"/>
      <c r="P30" s="28" t="n"/>
      <c r="Q30" s="28" t="n"/>
      <c r="R30" s="28" t="n"/>
      <c r="S30" s="26">
        <f>IF(AND(P30="",Q30="",R30=""),"",N(P30)&amp;"-"&amp;N(Q30)&amp;"-"&amp;N(R30))</f>
        <v/>
      </c>
      <c r="T30" s="28" t="n"/>
      <c r="U30" s="31" t="n"/>
      <c r="V30" s="29" t="n"/>
      <c r="W30" s="31" t="n"/>
      <c r="X30" s="27" t="n"/>
      <c r="Y30" s="27" t="n"/>
      <c r="Z30" s="31" t="n"/>
      <c r="AA30" s="29" t="n"/>
      <c r="AB30" s="27" t="n"/>
      <c r="AC30" s="27" t="n"/>
      <c r="AD30" s="32" t="n"/>
    </row>
    <row r="31">
      <c r="A31" s="26" t="n">
        <v>28</v>
      </c>
      <c r="B31" s="27" t="n"/>
      <c r="C31" s="27" t="n"/>
      <c r="D31" s="27" t="n"/>
      <c r="E31" s="28" t="n"/>
      <c r="F31" s="29" t="n"/>
      <c r="G31" s="26">
        <f>IF(F31="","",DATEDIF(F31,TODAY(),"Y"))</f>
        <v/>
      </c>
      <c r="H31" s="27" t="n"/>
      <c r="I31" s="28" t="n"/>
      <c r="J31" s="28" t="n"/>
      <c r="K31" s="30" t="n"/>
      <c r="L31" s="26">
        <f>IF(K31="","",INDEX(Lists!$H$2:$H$15,COUNTIF(Lists!$I$2:$I$14,"&lt;"&amp;K31)+1))</f>
        <v/>
      </c>
      <c r="M31" s="30" t="n"/>
      <c r="N31" s="27" t="n"/>
      <c r="O31" s="28" t="n"/>
      <c r="P31" s="28" t="n"/>
      <c r="Q31" s="28" t="n"/>
      <c r="R31" s="28" t="n"/>
      <c r="S31" s="26">
        <f>IF(AND(P31="",Q31="",R31=""),"",N(P31)&amp;"-"&amp;N(Q31)&amp;"-"&amp;N(R31))</f>
        <v/>
      </c>
      <c r="T31" s="28" t="n"/>
      <c r="U31" s="31" t="n"/>
      <c r="V31" s="29" t="n"/>
      <c r="W31" s="31" t="n"/>
      <c r="X31" s="27" t="n"/>
      <c r="Y31" s="27" t="n"/>
      <c r="Z31" s="31" t="n"/>
      <c r="AA31" s="29" t="n"/>
      <c r="AB31" s="27" t="n"/>
      <c r="AC31" s="27" t="n"/>
      <c r="AD31" s="32" t="n"/>
    </row>
    <row r="32">
      <c r="A32" s="26" t="n">
        <v>29</v>
      </c>
      <c r="B32" s="27" t="n"/>
      <c r="C32" s="27" t="n"/>
      <c r="D32" s="27" t="n"/>
      <c r="E32" s="28" t="n"/>
      <c r="F32" s="29" t="n"/>
      <c r="G32" s="26">
        <f>IF(F32="","",DATEDIF(F32,TODAY(),"Y"))</f>
        <v/>
      </c>
      <c r="H32" s="27" t="n"/>
      <c r="I32" s="28" t="n"/>
      <c r="J32" s="28" t="n"/>
      <c r="K32" s="30" t="n"/>
      <c r="L32" s="26">
        <f>IF(K32="","",INDEX(Lists!$H$2:$H$15,COUNTIF(Lists!$I$2:$I$14,"&lt;"&amp;K32)+1))</f>
        <v/>
      </c>
      <c r="M32" s="30" t="n"/>
      <c r="N32" s="27" t="n"/>
      <c r="O32" s="28" t="n"/>
      <c r="P32" s="28" t="n"/>
      <c r="Q32" s="28" t="n"/>
      <c r="R32" s="28" t="n"/>
      <c r="S32" s="26">
        <f>IF(AND(P32="",Q32="",R32=""),"",N(P32)&amp;"-"&amp;N(Q32)&amp;"-"&amp;N(R32))</f>
        <v/>
      </c>
      <c r="T32" s="28" t="n"/>
      <c r="U32" s="31" t="n"/>
      <c r="V32" s="29" t="n"/>
      <c r="W32" s="31" t="n"/>
      <c r="X32" s="27" t="n"/>
      <c r="Y32" s="27" t="n"/>
      <c r="Z32" s="31" t="n"/>
      <c r="AA32" s="29" t="n"/>
      <c r="AB32" s="27" t="n"/>
      <c r="AC32" s="27" t="n"/>
      <c r="AD32" s="32" t="n"/>
    </row>
    <row r="33">
      <c r="A33" s="26" t="n">
        <v>30</v>
      </c>
      <c r="B33" s="27" t="n"/>
      <c r="C33" s="27" t="n"/>
      <c r="D33" s="27" t="n"/>
      <c r="E33" s="28" t="n"/>
      <c r="F33" s="29" t="n"/>
      <c r="G33" s="26">
        <f>IF(F33="","",DATEDIF(F33,TODAY(),"Y"))</f>
        <v/>
      </c>
      <c r="H33" s="27" t="n"/>
      <c r="I33" s="28" t="n"/>
      <c r="J33" s="28" t="n"/>
      <c r="K33" s="30" t="n"/>
      <c r="L33" s="26">
        <f>IF(K33="","",INDEX(Lists!$H$2:$H$15,COUNTIF(Lists!$I$2:$I$14,"&lt;"&amp;K33)+1))</f>
        <v/>
      </c>
      <c r="M33" s="30" t="n"/>
      <c r="N33" s="27" t="n"/>
      <c r="O33" s="28" t="n"/>
      <c r="P33" s="28" t="n"/>
      <c r="Q33" s="28" t="n"/>
      <c r="R33" s="28" t="n"/>
      <c r="S33" s="26">
        <f>IF(AND(P33="",Q33="",R33=""),"",N(P33)&amp;"-"&amp;N(Q33)&amp;"-"&amp;N(R33))</f>
        <v/>
      </c>
      <c r="T33" s="28" t="n"/>
      <c r="U33" s="31" t="n"/>
      <c r="V33" s="29" t="n"/>
      <c r="W33" s="31" t="n"/>
      <c r="X33" s="27" t="n"/>
      <c r="Y33" s="27" t="n"/>
      <c r="Z33" s="31" t="n"/>
      <c r="AA33" s="29" t="n"/>
      <c r="AB33" s="27" t="n"/>
      <c r="AC33" s="27" t="n"/>
      <c r="AD33" s="32" t="n"/>
    </row>
    <row r="34">
      <c r="A34" s="26" t="n">
        <v>31</v>
      </c>
      <c r="B34" s="27" t="n"/>
      <c r="C34" s="27" t="n"/>
      <c r="D34" s="27" t="n"/>
      <c r="E34" s="28" t="n"/>
      <c r="F34" s="29" t="n"/>
      <c r="G34" s="26">
        <f>IF(F34="","",DATEDIF(F34,TODAY(),"Y"))</f>
        <v/>
      </c>
      <c r="H34" s="27" t="n"/>
      <c r="I34" s="28" t="n"/>
      <c r="J34" s="28" t="n"/>
      <c r="K34" s="30" t="n"/>
      <c r="L34" s="26">
        <f>IF(K34="","",INDEX(Lists!$H$2:$H$15,COUNTIF(Lists!$I$2:$I$14,"&lt;"&amp;K34)+1))</f>
        <v/>
      </c>
      <c r="M34" s="30" t="n"/>
      <c r="N34" s="27" t="n"/>
      <c r="O34" s="28" t="n"/>
      <c r="P34" s="28" t="n"/>
      <c r="Q34" s="28" t="n"/>
      <c r="R34" s="28" t="n"/>
      <c r="S34" s="26">
        <f>IF(AND(P34="",Q34="",R34=""),"",N(P34)&amp;"-"&amp;N(Q34)&amp;"-"&amp;N(R34))</f>
        <v/>
      </c>
      <c r="T34" s="28" t="n"/>
      <c r="U34" s="31" t="n"/>
      <c r="V34" s="29" t="n"/>
      <c r="W34" s="31" t="n"/>
      <c r="X34" s="27" t="n"/>
      <c r="Y34" s="27" t="n"/>
      <c r="Z34" s="31" t="n"/>
      <c r="AA34" s="29" t="n"/>
      <c r="AB34" s="27" t="n"/>
      <c r="AC34" s="27" t="n"/>
      <c r="AD34" s="32" t="n"/>
    </row>
    <row r="35">
      <c r="A35" s="26" t="n">
        <v>32</v>
      </c>
      <c r="B35" s="27" t="n"/>
      <c r="C35" s="27" t="n"/>
      <c r="D35" s="27" t="n"/>
      <c r="E35" s="28" t="n"/>
      <c r="F35" s="29" t="n"/>
      <c r="G35" s="26">
        <f>IF(F35="","",DATEDIF(F35,TODAY(),"Y"))</f>
        <v/>
      </c>
      <c r="H35" s="27" t="n"/>
      <c r="I35" s="28" t="n"/>
      <c r="J35" s="28" t="n"/>
      <c r="K35" s="30" t="n"/>
      <c r="L35" s="26">
        <f>IF(K35="","",INDEX(Lists!$H$2:$H$15,COUNTIF(Lists!$I$2:$I$14,"&lt;"&amp;K35)+1))</f>
        <v/>
      </c>
      <c r="M35" s="30" t="n"/>
      <c r="N35" s="27" t="n"/>
      <c r="O35" s="28" t="n"/>
      <c r="P35" s="28" t="n"/>
      <c r="Q35" s="28" t="n"/>
      <c r="R35" s="28" t="n"/>
      <c r="S35" s="26">
        <f>IF(AND(P35="",Q35="",R35=""),"",N(P35)&amp;"-"&amp;N(Q35)&amp;"-"&amp;N(R35))</f>
        <v/>
      </c>
      <c r="T35" s="28" t="n"/>
      <c r="U35" s="31" t="n"/>
      <c r="V35" s="29" t="n"/>
      <c r="W35" s="31" t="n"/>
      <c r="X35" s="27" t="n"/>
      <c r="Y35" s="27" t="n"/>
      <c r="Z35" s="31" t="n"/>
      <c r="AA35" s="29" t="n"/>
      <c r="AB35" s="27" t="n"/>
      <c r="AC35" s="27" t="n"/>
      <c r="AD35" s="32" t="n"/>
    </row>
    <row r="36">
      <c r="A36" s="26" t="n">
        <v>33</v>
      </c>
      <c r="B36" s="27" t="n"/>
      <c r="C36" s="27" t="n"/>
      <c r="D36" s="27" t="n"/>
      <c r="E36" s="28" t="n"/>
      <c r="F36" s="29" t="n"/>
      <c r="G36" s="26">
        <f>IF(F36="","",DATEDIF(F36,TODAY(),"Y"))</f>
        <v/>
      </c>
      <c r="H36" s="27" t="n"/>
      <c r="I36" s="28" t="n"/>
      <c r="J36" s="28" t="n"/>
      <c r="K36" s="30" t="n"/>
      <c r="L36" s="26">
        <f>IF(K36="","",INDEX(Lists!$H$2:$H$15,COUNTIF(Lists!$I$2:$I$14,"&lt;"&amp;K36)+1))</f>
        <v/>
      </c>
      <c r="M36" s="30" t="n"/>
      <c r="N36" s="27" t="n"/>
      <c r="O36" s="28" t="n"/>
      <c r="P36" s="28" t="n"/>
      <c r="Q36" s="28" t="n"/>
      <c r="R36" s="28" t="n"/>
      <c r="S36" s="26">
        <f>IF(AND(P36="",Q36="",R36=""),"",N(P36)&amp;"-"&amp;N(Q36)&amp;"-"&amp;N(R36))</f>
        <v/>
      </c>
      <c r="T36" s="28" t="n"/>
      <c r="U36" s="31" t="n"/>
      <c r="V36" s="29" t="n"/>
      <c r="W36" s="31" t="n"/>
      <c r="X36" s="27" t="n"/>
      <c r="Y36" s="27" t="n"/>
      <c r="Z36" s="31" t="n"/>
      <c r="AA36" s="29" t="n"/>
      <c r="AB36" s="27" t="n"/>
      <c r="AC36" s="27" t="n"/>
      <c r="AD36" s="32" t="n"/>
    </row>
    <row r="37">
      <c r="A37" s="26" t="n">
        <v>34</v>
      </c>
      <c r="B37" s="27" t="n"/>
      <c r="C37" s="27" t="n"/>
      <c r="D37" s="27" t="n"/>
      <c r="E37" s="28" t="n"/>
      <c r="F37" s="29" t="n"/>
      <c r="G37" s="26">
        <f>IF(F37="","",DATEDIF(F37,TODAY(),"Y"))</f>
        <v/>
      </c>
      <c r="H37" s="27" t="n"/>
      <c r="I37" s="28" t="n"/>
      <c r="J37" s="28" t="n"/>
      <c r="K37" s="30" t="n"/>
      <c r="L37" s="26">
        <f>IF(K37="","",INDEX(Lists!$H$2:$H$15,COUNTIF(Lists!$I$2:$I$14,"&lt;"&amp;K37)+1))</f>
        <v/>
      </c>
      <c r="M37" s="30" t="n"/>
      <c r="N37" s="27" t="n"/>
      <c r="O37" s="28" t="n"/>
      <c r="P37" s="28" t="n"/>
      <c r="Q37" s="28" t="n"/>
      <c r="R37" s="28" t="n"/>
      <c r="S37" s="26">
        <f>IF(AND(P37="",Q37="",R37=""),"",N(P37)&amp;"-"&amp;N(Q37)&amp;"-"&amp;N(R37))</f>
        <v/>
      </c>
      <c r="T37" s="28" t="n"/>
      <c r="U37" s="31" t="n"/>
      <c r="V37" s="29" t="n"/>
      <c r="W37" s="31" t="n"/>
      <c r="X37" s="27" t="n"/>
      <c r="Y37" s="27" t="n"/>
      <c r="Z37" s="31" t="n"/>
      <c r="AA37" s="29" t="n"/>
      <c r="AB37" s="27" t="n"/>
      <c r="AC37" s="27" t="n"/>
      <c r="AD37" s="32" t="n"/>
    </row>
    <row r="38">
      <c r="A38" s="26" t="n">
        <v>35</v>
      </c>
      <c r="B38" s="27" t="n"/>
      <c r="C38" s="27" t="n"/>
      <c r="D38" s="27" t="n"/>
      <c r="E38" s="28" t="n"/>
      <c r="F38" s="29" t="n"/>
      <c r="G38" s="26">
        <f>IF(F38="","",DATEDIF(F38,TODAY(),"Y"))</f>
        <v/>
      </c>
      <c r="H38" s="27" t="n"/>
      <c r="I38" s="28" t="n"/>
      <c r="J38" s="28" t="n"/>
      <c r="K38" s="30" t="n"/>
      <c r="L38" s="26">
        <f>IF(K38="","",INDEX(Lists!$H$2:$H$15,COUNTIF(Lists!$I$2:$I$14,"&lt;"&amp;K38)+1))</f>
        <v/>
      </c>
      <c r="M38" s="30" t="n"/>
      <c r="N38" s="27" t="n"/>
      <c r="O38" s="28" t="n"/>
      <c r="P38" s="28" t="n"/>
      <c r="Q38" s="28" t="n"/>
      <c r="R38" s="28" t="n"/>
      <c r="S38" s="26">
        <f>IF(AND(P38="",Q38="",R38=""),"",N(P38)&amp;"-"&amp;N(Q38)&amp;"-"&amp;N(R38))</f>
        <v/>
      </c>
      <c r="T38" s="28" t="n"/>
      <c r="U38" s="31" t="n"/>
      <c r="V38" s="29" t="n"/>
      <c r="W38" s="31" t="n"/>
      <c r="X38" s="27" t="n"/>
      <c r="Y38" s="27" t="n"/>
      <c r="Z38" s="31" t="n"/>
      <c r="AA38" s="29" t="n"/>
      <c r="AB38" s="27" t="n"/>
      <c r="AC38" s="27" t="n"/>
      <c r="AD38" s="32" t="n"/>
    </row>
    <row r="39">
      <c r="A39" s="26" t="n">
        <v>36</v>
      </c>
      <c r="B39" s="27" t="n"/>
      <c r="C39" s="27" t="n"/>
      <c r="D39" s="27" t="n"/>
      <c r="E39" s="28" t="n"/>
      <c r="F39" s="29" t="n"/>
      <c r="G39" s="26">
        <f>IF(F39="","",DATEDIF(F39,TODAY(),"Y"))</f>
        <v/>
      </c>
      <c r="H39" s="27" t="n"/>
      <c r="I39" s="28" t="n"/>
      <c r="J39" s="28" t="n"/>
      <c r="K39" s="30" t="n"/>
      <c r="L39" s="26">
        <f>IF(K39="","",INDEX(Lists!$H$2:$H$15,COUNTIF(Lists!$I$2:$I$14,"&lt;"&amp;K39)+1))</f>
        <v/>
      </c>
      <c r="M39" s="30" t="n"/>
      <c r="N39" s="27" t="n"/>
      <c r="O39" s="28" t="n"/>
      <c r="P39" s="28" t="n"/>
      <c r="Q39" s="28" t="n"/>
      <c r="R39" s="28" t="n"/>
      <c r="S39" s="26">
        <f>IF(AND(P39="",Q39="",R39=""),"",N(P39)&amp;"-"&amp;N(Q39)&amp;"-"&amp;N(R39))</f>
        <v/>
      </c>
      <c r="T39" s="28" t="n"/>
      <c r="U39" s="31" t="n"/>
      <c r="V39" s="29" t="n"/>
      <c r="W39" s="31" t="n"/>
      <c r="X39" s="27" t="n"/>
      <c r="Y39" s="27" t="n"/>
      <c r="Z39" s="31" t="n"/>
      <c r="AA39" s="29" t="n"/>
      <c r="AB39" s="27" t="n"/>
      <c r="AC39" s="27" t="n"/>
      <c r="AD39" s="32" t="n"/>
    </row>
    <row r="40">
      <c r="A40" s="26" t="n">
        <v>37</v>
      </c>
      <c r="B40" s="27" t="n"/>
      <c r="C40" s="27" t="n"/>
      <c r="D40" s="27" t="n"/>
      <c r="E40" s="28" t="n"/>
      <c r="F40" s="29" t="n"/>
      <c r="G40" s="26">
        <f>IF(F40="","",DATEDIF(F40,TODAY(),"Y"))</f>
        <v/>
      </c>
      <c r="H40" s="27" t="n"/>
      <c r="I40" s="28" t="n"/>
      <c r="J40" s="28" t="n"/>
      <c r="K40" s="30" t="n"/>
      <c r="L40" s="26">
        <f>IF(K40="","",INDEX(Lists!$H$2:$H$15,COUNTIF(Lists!$I$2:$I$14,"&lt;"&amp;K40)+1))</f>
        <v/>
      </c>
      <c r="M40" s="30" t="n"/>
      <c r="N40" s="27" t="n"/>
      <c r="O40" s="28" t="n"/>
      <c r="P40" s="28" t="n"/>
      <c r="Q40" s="28" t="n"/>
      <c r="R40" s="28" t="n"/>
      <c r="S40" s="26">
        <f>IF(AND(P40="",Q40="",R40=""),"",N(P40)&amp;"-"&amp;N(Q40)&amp;"-"&amp;N(R40))</f>
        <v/>
      </c>
      <c r="T40" s="28" t="n"/>
      <c r="U40" s="31" t="n"/>
      <c r="V40" s="29" t="n"/>
      <c r="W40" s="31" t="n"/>
      <c r="X40" s="27" t="n"/>
      <c r="Y40" s="27" t="n"/>
      <c r="Z40" s="31" t="n"/>
      <c r="AA40" s="29" t="n"/>
      <c r="AB40" s="27" t="n"/>
      <c r="AC40" s="27" t="n"/>
      <c r="AD40" s="32" t="n"/>
    </row>
    <row r="41">
      <c r="A41" s="26" t="n">
        <v>38</v>
      </c>
      <c r="B41" s="27" t="n"/>
      <c r="C41" s="27" t="n"/>
      <c r="D41" s="27" t="n"/>
      <c r="E41" s="28" t="n"/>
      <c r="F41" s="29" t="n"/>
      <c r="G41" s="26">
        <f>IF(F41="","",DATEDIF(F41,TODAY(),"Y"))</f>
        <v/>
      </c>
      <c r="H41" s="27" t="n"/>
      <c r="I41" s="28" t="n"/>
      <c r="J41" s="28" t="n"/>
      <c r="K41" s="30" t="n"/>
      <c r="L41" s="26">
        <f>IF(K41="","",INDEX(Lists!$H$2:$H$15,COUNTIF(Lists!$I$2:$I$14,"&lt;"&amp;K41)+1))</f>
        <v/>
      </c>
      <c r="M41" s="30" t="n"/>
      <c r="N41" s="27" t="n"/>
      <c r="O41" s="28" t="n"/>
      <c r="P41" s="28" t="n"/>
      <c r="Q41" s="28" t="n"/>
      <c r="R41" s="28" t="n"/>
      <c r="S41" s="26">
        <f>IF(AND(P41="",Q41="",R41=""),"",N(P41)&amp;"-"&amp;N(Q41)&amp;"-"&amp;N(R41))</f>
        <v/>
      </c>
      <c r="T41" s="28" t="n"/>
      <c r="U41" s="31" t="n"/>
      <c r="V41" s="29" t="n"/>
      <c r="W41" s="31" t="n"/>
      <c r="X41" s="27" t="n"/>
      <c r="Y41" s="27" t="n"/>
      <c r="Z41" s="31" t="n"/>
      <c r="AA41" s="29" t="n"/>
      <c r="AB41" s="27" t="n"/>
      <c r="AC41" s="27" t="n"/>
      <c r="AD41" s="32" t="n"/>
    </row>
    <row r="42">
      <c r="A42" s="26" t="n">
        <v>39</v>
      </c>
      <c r="B42" s="27" t="n"/>
      <c r="C42" s="27" t="n"/>
      <c r="D42" s="27" t="n"/>
      <c r="E42" s="28" t="n"/>
      <c r="F42" s="29" t="n"/>
      <c r="G42" s="26">
        <f>IF(F42="","",DATEDIF(F42,TODAY(),"Y"))</f>
        <v/>
      </c>
      <c r="H42" s="27" t="n"/>
      <c r="I42" s="28" t="n"/>
      <c r="J42" s="28" t="n"/>
      <c r="K42" s="30" t="n"/>
      <c r="L42" s="26">
        <f>IF(K42="","",INDEX(Lists!$H$2:$H$15,COUNTIF(Lists!$I$2:$I$14,"&lt;"&amp;K42)+1))</f>
        <v/>
      </c>
      <c r="M42" s="30" t="n"/>
      <c r="N42" s="27" t="n"/>
      <c r="O42" s="28" t="n"/>
      <c r="P42" s="28" t="n"/>
      <c r="Q42" s="28" t="n"/>
      <c r="R42" s="28" t="n"/>
      <c r="S42" s="26">
        <f>IF(AND(P42="",Q42="",R42=""),"",N(P42)&amp;"-"&amp;N(Q42)&amp;"-"&amp;N(R42))</f>
        <v/>
      </c>
      <c r="T42" s="28" t="n"/>
      <c r="U42" s="31" t="n"/>
      <c r="V42" s="29" t="n"/>
      <c r="W42" s="31" t="n"/>
      <c r="X42" s="27" t="n"/>
      <c r="Y42" s="27" t="n"/>
      <c r="Z42" s="31" t="n"/>
      <c r="AA42" s="29" t="n"/>
      <c r="AB42" s="27" t="n"/>
      <c r="AC42" s="27" t="n"/>
      <c r="AD42" s="32" t="n"/>
    </row>
    <row r="43">
      <c r="A43" s="26" t="n">
        <v>40</v>
      </c>
      <c r="B43" s="27" t="n"/>
      <c r="C43" s="27" t="n"/>
      <c r="D43" s="27" t="n"/>
      <c r="E43" s="28" t="n"/>
      <c r="F43" s="29" t="n"/>
      <c r="G43" s="26">
        <f>IF(F43="","",DATEDIF(F43,TODAY(),"Y"))</f>
        <v/>
      </c>
      <c r="H43" s="27" t="n"/>
      <c r="I43" s="28" t="n"/>
      <c r="J43" s="28" t="n"/>
      <c r="K43" s="30" t="n"/>
      <c r="L43" s="26">
        <f>IF(K43="","",INDEX(Lists!$H$2:$H$15,COUNTIF(Lists!$I$2:$I$14,"&lt;"&amp;K43)+1))</f>
        <v/>
      </c>
      <c r="M43" s="30" t="n"/>
      <c r="N43" s="27" t="n"/>
      <c r="O43" s="28" t="n"/>
      <c r="P43" s="28" t="n"/>
      <c r="Q43" s="28" t="n"/>
      <c r="R43" s="28" t="n"/>
      <c r="S43" s="26">
        <f>IF(AND(P43="",Q43="",R43=""),"",N(P43)&amp;"-"&amp;N(Q43)&amp;"-"&amp;N(R43))</f>
        <v/>
      </c>
      <c r="T43" s="28" t="n"/>
      <c r="U43" s="31" t="n"/>
      <c r="V43" s="29" t="n"/>
      <c r="W43" s="31" t="n"/>
      <c r="X43" s="27" t="n"/>
      <c r="Y43" s="27" t="n"/>
      <c r="Z43" s="31" t="n"/>
      <c r="AA43" s="29" t="n"/>
      <c r="AB43" s="27" t="n"/>
      <c r="AC43" s="27" t="n"/>
      <c r="AD43" s="32" t="n"/>
    </row>
    <row r="44">
      <c r="A44" s="26" t="n">
        <v>41</v>
      </c>
      <c r="B44" s="27" t="n"/>
      <c r="C44" s="27" t="n"/>
      <c r="D44" s="27" t="n"/>
      <c r="E44" s="28" t="n"/>
      <c r="F44" s="29" t="n"/>
      <c r="G44" s="26">
        <f>IF(F44="","",DATEDIF(F44,TODAY(),"Y"))</f>
        <v/>
      </c>
      <c r="H44" s="27" t="n"/>
      <c r="I44" s="28" t="n"/>
      <c r="J44" s="28" t="n"/>
      <c r="K44" s="30" t="n"/>
      <c r="L44" s="26">
        <f>IF(K44="","",INDEX(Lists!$H$2:$H$15,COUNTIF(Lists!$I$2:$I$14,"&lt;"&amp;K44)+1))</f>
        <v/>
      </c>
      <c r="M44" s="30" t="n"/>
      <c r="N44" s="27" t="n"/>
      <c r="O44" s="28" t="n"/>
      <c r="P44" s="28" t="n"/>
      <c r="Q44" s="28" t="n"/>
      <c r="R44" s="28" t="n"/>
      <c r="S44" s="26">
        <f>IF(AND(P44="",Q44="",R44=""),"",N(P44)&amp;"-"&amp;N(Q44)&amp;"-"&amp;N(R44))</f>
        <v/>
      </c>
      <c r="T44" s="28" t="n"/>
      <c r="U44" s="31" t="n"/>
      <c r="V44" s="29" t="n"/>
      <c r="W44" s="31" t="n"/>
      <c r="X44" s="27" t="n"/>
      <c r="Y44" s="27" t="n"/>
      <c r="Z44" s="31" t="n"/>
      <c r="AA44" s="29" t="n"/>
      <c r="AB44" s="27" t="n"/>
      <c r="AC44" s="27" t="n"/>
      <c r="AD44" s="32" t="n"/>
    </row>
    <row r="45">
      <c r="A45" s="26" t="n">
        <v>42</v>
      </c>
      <c r="B45" s="27" t="n"/>
      <c r="C45" s="27" t="n"/>
      <c r="D45" s="27" t="n"/>
      <c r="E45" s="28" t="n"/>
      <c r="F45" s="29" t="n"/>
      <c r="G45" s="26">
        <f>IF(F45="","",DATEDIF(F45,TODAY(),"Y"))</f>
        <v/>
      </c>
      <c r="H45" s="27" t="n"/>
      <c r="I45" s="28" t="n"/>
      <c r="J45" s="28" t="n"/>
      <c r="K45" s="30" t="n"/>
      <c r="L45" s="26">
        <f>IF(K45="","",INDEX(Lists!$H$2:$H$15,COUNTIF(Lists!$I$2:$I$14,"&lt;"&amp;K45)+1))</f>
        <v/>
      </c>
      <c r="M45" s="30" t="n"/>
      <c r="N45" s="27" t="n"/>
      <c r="O45" s="28" t="n"/>
      <c r="P45" s="28" t="n"/>
      <c r="Q45" s="28" t="n"/>
      <c r="R45" s="28" t="n"/>
      <c r="S45" s="26">
        <f>IF(AND(P45="",Q45="",R45=""),"",N(P45)&amp;"-"&amp;N(Q45)&amp;"-"&amp;N(R45))</f>
        <v/>
      </c>
      <c r="T45" s="28" t="n"/>
      <c r="U45" s="31" t="n"/>
      <c r="V45" s="29" t="n"/>
      <c r="W45" s="31" t="n"/>
      <c r="X45" s="27" t="n"/>
      <c r="Y45" s="27" t="n"/>
      <c r="Z45" s="31" t="n"/>
      <c r="AA45" s="29" t="n"/>
      <c r="AB45" s="27" t="n"/>
      <c r="AC45" s="27" t="n"/>
      <c r="AD45" s="32" t="n"/>
    </row>
    <row r="46">
      <c r="A46" s="26" t="n">
        <v>43</v>
      </c>
      <c r="B46" s="27" t="n"/>
      <c r="C46" s="27" t="n"/>
      <c r="D46" s="27" t="n"/>
      <c r="E46" s="28" t="n"/>
      <c r="F46" s="29" t="n"/>
      <c r="G46" s="26">
        <f>IF(F46="","",DATEDIF(F46,TODAY(),"Y"))</f>
        <v/>
      </c>
      <c r="H46" s="27" t="n"/>
      <c r="I46" s="28" t="n"/>
      <c r="J46" s="28" t="n"/>
      <c r="K46" s="30" t="n"/>
      <c r="L46" s="26">
        <f>IF(K46="","",INDEX(Lists!$H$2:$H$15,COUNTIF(Lists!$I$2:$I$14,"&lt;"&amp;K46)+1))</f>
        <v/>
      </c>
      <c r="M46" s="30" t="n"/>
      <c r="N46" s="27" t="n"/>
      <c r="O46" s="28" t="n"/>
      <c r="P46" s="28" t="n"/>
      <c r="Q46" s="28" t="n"/>
      <c r="R46" s="28" t="n"/>
      <c r="S46" s="26">
        <f>IF(AND(P46="",Q46="",R46=""),"",N(P46)&amp;"-"&amp;N(Q46)&amp;"-"&amp;N(R46))</f>
        <v/>
      </c>
      <c r="T46" s="28" t="n"/>
      <c r="U46" s="31" t="n"/>
      <c r="V46" s="29" t="n"/>
      <c r="W46" s="31" t="n"/>
      <c r="X46" s="27" t="n"/>
      <c r="Y46" s="27" t="n"/>
      <c r="Z46" s="31" t="n"/>
      <c r="AA46" s="29" t="n"/>
      <c r="AB46" s="27" t="n"/>
      <c r="AC46" s="27" t="n"/>
      <c r="AD46" s="32" t="n"/>
    </row>
    <row r="47">
      <c r="A47" s="26" t="n">
        <v>44</v>
      </c>
      <c r="B47" s="27" t="n"/>
      <c r="C47" s="27" t="n"/>
      <c r="D47" s="27" t="n"/>
      <c r="E47" s="28" t="n"/>
      <c r="F47" s="29" t="n"/>
      <c r="G47" s="26">
        <f>IF(F47="","",DATEDIF(F47,TODAY(),"Y"))</f>
        <v/>
      </c>
      <c r="H47" s="27" t="n"/>
      <c r="I47" s="28" t="n"/>
      <c r="J47" s="28" t="n"/>
      <c r="K47" s="30" t="n"/>
      <c r="L47" s="26">
        <f>IF(K47="","",INDEX(Lists!$H$2:$H$15,COUNTIF(Lists!$I$2:$I$14,"&lt;"&amp;K47)+1))</f>
        <v/>
      </c>
      <c r="M47" s="30" t="n"/>
      <c r="N47" s="27" t="n"/>
      <c r="O47" s="28" t="n"/>
      <c r="P47" s="28" t="n"/>
      <c r="Q47" s="28" t="n"/>
      <c r="R47" s="28" t="n"/>
      <c r="S47" s="26">
        <f>IF(AND(P47="",Q47="",R47=""),"",N(P47)&amp;"-"&amp;N(Q47)&amp;"-"&amp;N(R47))</f>
        <v/>
      </c>
      <c r="T47" s="28" t="n"/>
      <c r="U47" s="31" t="n"/>
      <c r="V47" s="29" t="n"/>
      <c r="W47" s="31" t="n"/>
      <c r="X47" s="27" t="n"/>
      <c r="Y47" s="27" t="n"/>
      <c r="Z47" s="31" t="n"/>
      <c r="AA47" s="29" t="n"/>
      <c r="AB47" s="27" t="n"/>
      <c r="AC47" s="27" t="n"/>
      <c r="AD47" s="32" t="n"/>
    </row>
    <row r="48">
      <c r="A48" s="26" t="n">
        <v>45</v>
      </c>
      <c r="B48" s="27" t="n"/>
      <c r="C48" s="27" t="n"/>
      <c r="D48" s="27" t="n"/>
      <c r="E48" s="28" t="n"/>
      <c r="F48" s="29" t="n"/>
      <c r="G48" s="26">
        <f>IF(F48="","",DATEDIF(F48,TODAY(),"Y"))</f>
        <v/>
      </c>
      <c r="H48" s="27" t="n"/>
      <c r="I48" s="28" t="n"/>
      <c r="J48" s="28" t="n"/>
      <c r="K48" s="30" t="n"/>
      <c r="L48" s="26">
        <f>IF(K48="","",INDEX(Lists!$H$2:$H$15,COUNTIF(Lists!$I$2:$I$14,"&lt;"&amp;K48)+1))</f>
        <v/>
      </c>
      <c r="M48" s="30" t="n"/>
      <c r="N48" s="27" t="n"/>
      <c r="O48" s="28" t="n"/>
      <c r="P48" s="28" t="n"/>
      <c r="Q48" s="28" t="n"/>
      <c r="R48" s="28" t="n"/>
      <c r="S48" s="26">
        <f>IF(AND(P48="",Q48="",R48=""),"",N(P48)&amp;"-"&amp;N(Q48)&amp;"-"&amp;N(R48))</f>
        <v/>
      </c>
      <c r="T48" s="28" t="n"/>
      <c r="U48" s="31" t="n"/>
      <c r="V48" s="29" t="n"/>
      <c r="W48" s="31" t="n"/>
      <c r="X48" s="27" t="n"/>
      <c r="Y48" s="27" t="n"/>
      <c r="Z48" s="31" t="n"/>
      <c r="AA48" s="29" t="n"/>
      <c r="AB48" s="27" t="n"/>
      <c r="AC48" s="27" t="n"/>
      <c r="AD48" s="32" t="n"/>
    </row>
    <row r="49">
      <c r="A49" s="26" t="n">
        <v>46</v>
      </c>
      <c r="B49" s="27" t="n"/>
      <c r="C49" s="27" t="n"/>
      <c r="D49" s="27" t="n"/>
      <c r="E49" s="28" t="n"/>
      <c r="F49" s="29" t="n"/>
      <c r="G49" s="26">
        <f>IF(F49="","",DATEDIF(F49,TODAY(),"Y"))</f>
        <v/>
      </c>
      <c r="H49" s="27" t="n"/>
      <c r="I49" s="28" t="n"/>
      <c r="J49" s="28" t="n"/>
      <c r="K49" s="30" t="n"/>
      <c r="L49" s="26">
        <f>IF(K49="","",INDEX(Lists!$H$2:$H$15,COUNTIF(Lists!$I$2:$I$14,"&lt;"&amp;K49)+1))</f>
        <v/>
      </c>
      <c r="M49" s="30" t="n"/>
      <c r="N49" s="27" t="n"/>
      <c r="O49" s="28" t="n"/>
      <c r="P49" s="28" t="n"/>
      <c r="Q49" s="28" t="n"/>
      <c r="R49" s="28" t="n"/>
      <c r="S49" s="26">
        <f>IF(AND(P49="",Q49="",R49=""),"",N(P49)&amp;"-"&amp;N(Q49)&amp;"-"&amp;N(R49))</f>
        <v/>
      </c>
      <c r="T49" s="28" t="n"/>
      <c r="U49" s="31" t="n"/>
      <c r="V49" s="29" t="n"/>
      <c r="W49" s="31" t="n"/>
      <c r="X49" s="27" t="n"/>
      <c r="Y49" s="27" t="n"/>
      <c r="Z49" s="31" t="n"/>
      <c r="AA49" s="29" t="n"/>
      <c r="AB49" s="27" t="n"/>
      <c r="AC49" s="27" t="n"/>
      <c r="AD49" s="32" t="n"/>
    </row>
    <row r="50">
      <c r="A50" s="26" t="n">
        <v>47</v>
      </c>
      <c r="B50" s="27" t="n"/>
      <c r="C50" s="27" t="n"/>
      <c r="D50" s="27" t="n"/>
      <c r="E50" s="28" t="n"/>
      <c r="F50" s="29" t="n"/>
      <c r="G50" s="26">
        <f>IF(F50="","",DATEDIF(F50,TODAY(),"Y"))</f>
        <v/>
      </c>
      <c r="H50" s="27" t="n"/>
      <c r="I50" s="28" t="n"/>
      <c r="J50" s="28" t="n"/>
      <c r="K50" s="30" t="n"/>
      <c r="L50" s="26">
        <f>IF(K50="","",INDEX(Lists!$H$2:$H$15,COUNTIF(Lists!$I$2:$I$14,"&lt;"&amp;K50)+1))</f>
        <v/>
      </c>
      <c r="M50" s="30" t="n"/>
      <c r="N50" s="27" t="n"/>
      <c r="O50" s="28" t="n"/>
      <c r="P50" s="28" t="n"/>
      <c r="Q50" s="28" t="n"/>
      <c r="R50" s="28" t="n"/>
      <c r="S50" s="26">
        <f>IF(AND(P50="",Q50="",R50=""),"",N(P50)&amp;"-"&amp;N(Q50)&amp;"-"&amp;N(R50))</f>
        <v/>
      </c>
      <c r="T50" s="28" t="n"/>
      <c r="U50" s="31" t="n"/>
      <c r="V50" s="29" t="n"/>
      <c r="W50" s="31" t="n"/>
      <c r="X50" s="27" t="n"/>
      <c r="Y50" s="27" t="n"/>
      <c r="Z50" s="31" t="n"/>
      <c r="AA50" s="29" t="n"/>
      <c r="AB50" s="27" t="n"/>
      <c r="AC50" s="27" t="n"/>
      <c r="AD50" s="32" t="n"/>
    </row>
    <row r="51">
      <c r="A51" s="26" t="n">
        <v>48</v>
      </c>
      <c r="B51" s="27" t="n"/>
      <c r="C51" s="27" t="n"/>
      <c r="D51" s="27" t="n"/>
      <c r="E51" s="28" t="n"/>
      <c r="F51" s="29" t="n"/>
      <c r="G51" s="26">
        <f>IF(F51="","",DATEDIF(F51,TODAY(),"Y"))</f>
        <v/>
      </c>
      <c r="H51" s="27" t="n"/>
      <c r="I51" s="28" t="n"/>
      <c r="J51" s="28" t="n"/>
      <c r="K51" s="30" t="n"/>
      <c r="L51" s="26">
        <f>IF(K51="","",INDEX(Lists!$H$2:$H$15,COUNTIF(Lists!$I$2:$I$14,"&lt;"&amp;K51)+1))</f>
        <v/>
      </c>
      <c r="M51" s="30" t="n"/>
      <c r="N51" s="27" t="n"/>
      <c r="O51" s="28" t="n"/>
      <c r="P51" s="28" t="n"/>
      <c r="Q51" s="28" t="n"/>
      <c r="R51" s="28" t="n"/>
      <c r="S51" s="26">
        <f>IF(AND(P51="",Q51="",R51=""),"",N(P51)&amp;"-"&amp;N(Q51)&amp;"-"&amp;N(R51))</f>
        <v/>
      </c>
      <c r="T51" s="28" t="n"/>
      <c r="U51" s="31" t="n"/>
      <c r="V51" s="29" t="n"/>
      <c r="W51" s="31" t="n"/>
      <c r="X51" s="27" t="n"/>
      <c r="Y51" s="27" t="n"/>
      <c r="Z51" s="31" t="n"/>
      <c r="AA51" s="29" t="n"/>
      <c r="AB51" s="27" t="n"/>
      <c r="AC51" s="27" t="n"/>
      <c r="AD51" s="32" t="n"/>
    </row>
    <row r="52">
      <c r="A52" s="26" t="n">
        <v>49</v>
      </c>
      <c r="B52" s="27" t="n"/>
      <c r="C52" s="27" t="n"/>
      <c r="D52" s="27" t="n"/>
      <c r="E52" s="28" t="n"/>
      <c r="F52" s="29" t="n"/>
      <c r="G52" s="26">
        <f>IF(F52="","",DATEDIF(F52,TODAY(),"Y"))</f>
        <v/>
      </c>
      <c r="H52" s="27" t="n"/>
      <c r="I52" s="28" t="n"/>
      <c r="J52" s="28" t="n"/>
      <c r="K52" s="30" t="n"/>
      <c r="L52" s="26">
        <f>IF(K52="","",INDEX(Lists!$H$2:$H$15,COUNTIF(Lists!$I$2:$I$14,"&lt;"&amp;K52)+1))</f>
        <v/>
      </c>
      <c r="M52" s="30" t="n"/>
      <c r="N52" s="27" t="n"/>
      <c r="O52" s="28" t="n"/>
      <c r="P52" s="28" t="n"/>
      <c r="Q52" s="28" t="n"/>
      <c r="R52" s="28" t="n"/>
      <c r="S52" s="26">
        <f>IF(AND(P52="",Q52="",R52=""),"",N(P52)&amp;"-"&amp;N(Q52)&amp;"-"&amp;N(R52))</f>
        <v/>
      </c>
      <c r="T52" s="28" t="n"/>
      <c r="U52" s="31" t="n"/>
      <c r="V52" s="29" t="n"/>
      <c r="W52" s="31" t="n"/>
      <c r="X52" s="27" t="n"/>
      <c r="Y52" s="27" t="n"/>
      <c r="Z52" s="31" t="n"/>
      <c r="AA52" s="29" t="n"/>
      <c r="AB52" s="27" t="n"/>
      <c r="AC52" s="27" t="n"/>
      <c r="AD52" s="32" t="n"/>
    </row>
    <row r="53">
      <c r="A53" s="26" t="n">
        <v>50</v>
      </c>
      <c r="B53" s="27" t="n"/>
      <c r="C53" s="27" t="n"/>
      <c r="D53" s="27" t="n"/>
      <c r="E53" s="28" t="n"/>
      <c r="F53" s="29" t="n"/>
      <c r="G53" s="26">
        <f>IF(F53="","",DATEDIF(F53,TODAY(),"Y"))</f>
        <v/>
      </c>
      <c r="H53" s="27" t="n"/>
      <c r="I53" s="28" t="n"/>
      <c r="J53" s="28" t="n"/>
      <c r="K53" s="30" t="n"/>
      <c r="L53" s="26">
        <f>IF(K53="","",INDEX(Lists!$H$2:$H$15,COUNTIF(Lists!$I$2:$I$14,"&lt;"&amp;K53)+1))</f>
        <v/>
      </c>
      <c r="M53" s="30" t="n"/>
      <c r="N53" s="27" t="n"/>
      <c r="O53" s="28" t="n"/>
      <c r="P53" s="28" t="n"/>
      <c r="Q53" s="28" t="n"/>
      <c r="R53" s="28" t="n"/>
      <c r="S53" s="26">
        <f>IF(AND(P53="",Q53="",R53=""),"",N(P53)&amp;"-"&amp;N(Q53)&amp;"-"&amp;N(R53))</f>
        <v/>
      </c>
      <c r="T53" s="28" t="n"/>
      <c r="U53" s="31" t="n"/>
      <c r="V53" s="29" t="n"/>
      <c r="W53" s="31" t="n"/>
      <c r="X53" s="27" t="n"/>
      <c r="Y53" s="27" t="n"/>
      <c r="Z53" s="31" t="n"/>
      <c r="AA53" s="29" t="n"/>
      <c r="AB53" s="27" t="n"/>
      <c r="AC53" s="27" t="n"/>
      <c r="AD53" s="32" t="n"/>
    </row>
  </sheetData>
  <autoFilter ref="A2:AD53"/>
  <conditionalFormatting sqref="B4:B53">
    <cfRule type="expression" priority="1" dxfId="0">
      <formula>AND(COUNTA($B4:$AC4)&gt;0,B4="")</formula>
    </cfRule>
  </conditionalFormatting>
  <conditionalFormatting sqref="C4:C53">
    <cfRule type="expression" priority="2" dxfId="0">
      <formula>AND(COUNTA($B4:$AC4)&gt;0,C4="")</formula>
    </cfRule>
  </conditionalFormatting>
  <conditionalFormatting sqref="E4:E53">
    <cfRule type="expression" priority="3" dxfId="0">
      <formula>AND(COUNTA($B4:$AC4)&gt;0,E4="")</formula>
    </cfRule>
  </conditionalFormatting>
  <conditionalFormatting sqref="F4:F53">
    <cfRule type="expression" priority="4" dxfId="0">
      <formula>AND(COUNTA($B4:$AC4)&gt;0,F4="")</formula>
    </cfRule>
  </conditionalFormatting>
  <conditionalFormatting sqref="I4:I53">
    <cfRule type="expression" priority="5" dxfId="0">
      <formula>AND(COUNTA($B4:$AC4)&gt;0,I4="")</formula>
    </cfRule>
  </conditionalFormatting>
  <conditionalFormatting sqref="K4:K53">
    <cfRule type="expression" priority="6" dxfId="0">
      <formula>AND(COUNTA($B4:$AC4)&gt;0,K4="")</formula>
    </cfRule>
  </conditionalFormatting>
  <conditionalFormatting sqref="M4:M53">
    <cfRule type="expression" priority="7" dxfId="0">
      <formula>AND(COUNTA($B4:$AC4)&gt;0,M4="")</formula>
    </cfRule>
  </conditionalFormatting>
  <dataValidations count="10">
    <dataValidation sqref="E4 E5 E6 E7 E8 E9 E10 E11 E12 E13 E14 E15 E16 E17 E18 E19 E20 E21 E22 E23 E24 E25 E26 E27 E28 E29 E30 E31 E32 E33 E34 E35 E36 E37 E38 E39 E40 E41 E42 E43 E44 E45 E46 E47 E48 E49 E50 E51 E52 E53" showDropDown="0" showInputMessage="0" showErrorMessage="0" allowBlank="1" errorTitle="Choose from the list" error="Please choose from the list." type="list">
      <formula1>=Lists!$A$2:$A$3</formula1>
    </dataValidation>
    <dataValidation sqref="F4 F5 F6 F7 F8 F9 F10 F11 F12 F13 F14 F15 F16 F17 F18 F19 F20 F21 F22 F23 F24 F25 F26 F27 F28 F29 F30 F31 F32 F33 F34 F35 F36 F37 F38 F39 F40 F41 F42 F43 F44 F45 F46 F47 F48 F49 F50 F51 F52 F53 V4 V5 V6 V7 V8 V9 V10 V11 V12 V13 V14 V15 V16 V17 V18 V19 V20 V21 V22 V23 V24 V25 V26 V27 V28 V29 V30 V31 V32 V33 V34 V35 V36 V37 V38 V39 V40 V41 V42 V43 V44 V45 V46 V47 V48 V49 V50 V51 V52 V53 AA4 AA5 AA6 AA7 AA8 AA9 AA10 AA11 AA12 AA13 AA14 AA15 AA16 AA17 AA18 AA19 AA20 AA21 AA22 AA23 AA24 AA25 AA26 AA27 AA28 AA29 AA30 AA31 AA32 AA33 AA34 AA35 AA36 AA37 AA38 AA39 AA40 AA41 AA42 AA43 AA44 AA45 AA46 AA47 AA48 AA49 AA50 AA51 AA52 AA53" showDropDown="0" showInputMessage="0" showErrorMessage="0" allowBlank="1" errorTitle="Date" error="Please enter a date as DD/MM/YYYY, e.g. 14/05/2003." type="date" operator="between">
      <formula1>DATE(1950,1,1)</formula1>
      <formula2>DATE(2100,12,31)</formula2>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1" errorTitle="Choose from the list" error="Please choose from the list." type="list">
      <formula1>=Lists!$B$2:$B$7</formula1>
    </dataValidation>
    <dataValidation sqref="J4 J5 J6 J7 J8 J9 J10 J11 J12 J13 J14 J15 J16 J17 J18 J19 J20 J21 J22 J23 J24 J25 J26 J27 J28 J29 J30 J31 J32 J33 J34 J35 J36 J37 J38 J39 J40 J41 J42 J43 J44 J45 J46 J47 J48 J49 J50 J51 J52 J53" showDropDown="0" showInputMessage="0" showErrorMessage="0" allowBlank="1" errorTitle="Choose from the list" error="Please choose from the list." type="list">
      <formula1>=Lists!$C$2:$C$26</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1" errorTitle="Number" error="Please enter a number from 40 to 150." type="decimal" operator="between">
      <formula1>40</formula1>
      <formula2>150</formula2>
    </dataValidation>
    <dataValidation sqref="M4 M5 M6 M7 M8 M9 M10 M11 M12 M13 M14 M15 M16 M17 M18 M19 M20 M21 M22 M23 M24 M25 M26 M27 M28 M29 M30 M31 M32 M33 M34 M35 M36 M37 M38 M39 M40 M41 M42 M43 M44 M45 M46 M47 M48 M49 M50 M51 M52 M53" showDropDown="0" showInputMessage="0" showErrorMessage="0" allowBlank="1" errorTitle="Number" error="Please enter a number from 100 to 220." type="decimal" operator="between">
      <formula1>100</formula1>
      <formula2>220</formula2>
    </dataValidation>
    <dataValidation sqref="O4 O5 O6 O7 O8 O9 O10 O11 O12 O13 O14 O15 O16 O17 O18 O19 O20 O21 O22 O23 O24 O25 O26 O27 O28 O29 O30 O31 O32 O33 O34 O35 O36 O37 O38 O39 O40 O41 O42 O43 O44 O45 O46 O47 O48 O49 O50 O51 O52 O53" showDropDown="0" showInputMessage="0" showErrorMessage="0" allowBlank="1" errorTitle="Choose from the list" error="Please choose from the list." type="list">
      <formula1>=Lists!$D$2:$D$3</formula1>
    </dataValidation>
    <dataValidation sqref="P4 P5 P6 P7 P8 P9 P10 P11 P12 P13 P14 P15 P16 P17 P18 P19 P20 P21 P22 P23 P24 P25 P26 P27 P28 P29 P30 P31 P32 P33 P34 P35 P36 P37 P38 P39 P40 P41 P42 P43 P44 P45 P46 P47 P48 P49 P50 P51 P52 P53 Q4 Q5 Q6 Q7 Q8 Q9 Q10 Q11 Q12 Q13 Q14 Q15 Q16 Q17 Q18 Q19 Q20 Q21 Q22 Q23 Q24 Q25 Q26 Q27 Q28 Q29 Q30 Q31 Q32 Q33 Q34 Q35 Q36 Q37 Q38 Q39 Q40 Q41 Q42 Q43 Q44 Q45 Q46 Q47 Q48 Q49 Q50 Q51 Q52 Q53 R4 R5 R6 R7 R8 R9 R10 R11 R12 R13 R14 R15 R16 R17 R18 R19 R20 R21 R22 R23 R24 R25 R26 R27 R28 R29 R30 R31 R32 R33 R34 R35 R36 R37 R38 R39 R40 R41 R42 R43 R44 R45 R46 R47 R48 R49 R50 R51 R52 R53" showDropDown="0" showInputMessage="0" showErrorMessage="0" allowBlank="1" errorTitle="Number" error="Please enter a number from 0 to 500." type="whole" operator="between">
      <formula1>0</formula1>
      <formula2>500</formula2>
    </dataValidation>
    <dataValidation sqref="T4 T5 T6 T7 T8 T9 T10 T11 T12 T13 T14 T15 T16 T17 T18 T19 T20 T21 T22 T23 T24 T25 T26 T27 T28 T29 T30 T31 T32 T33 T34 T35 T36 T37 T38 T39 T40 T41 T42 T43 T44 T45 T46 T47 T48 T49 T50 T51 T52 T53" showDropDown="0" showInputMessage="0" showErrorMessage="0" allowBlank="1" errorTitle="Choose from the list" error="Please choose from the list." type="list">
      <formula1>=Lists!$E$2:$E$5</formula1>
    </dataValidation>
    <dataValidation sqref="AD4 AD5 AD6 AD7 AD8 AD9 AD10 AD11 AD12 AD13 AD14 AD15 AD16 AD17 AD18 AD19 AD20 AD21 AD22 AD23 AD24 AD25 AD26 AD27 AD28 AD29 AD30 AD31 AD32 AD33 AD34 AD35 AD36 AD37 AD38 AD39 AD40 AD41 AD42 AD43 AD44 AD45 AD46 AD47 AD48 AD49 AD50 AD51 AD52 AD53" showDropDown="0" showInputMessage="0" showErrorMessage="0" allowBlank="1" type="list">
      <formula1>=Lists!$F$2:$F$3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8" max="8"/>
    <col width="30" customWidth="1" min="9" max="9"/>
  </cols>
  <sheetData>
    <row r="1">
      <c r="A1" s="33" t="inlineStr">
        <is>
          <t>Gender</t>
        </is>
      </c>
      <c r="B1" s="33" t="inlineStr">
        <is>
          <t>Nationality</t>
        </is>
      </c>
      <c r="C1" s="33" t="inlineStr">
        <is>
          <t>Province</t>
        </is>
      </c>
      <c r="D1" s="33" t="inlineStr">
        <is>
          <t>Level</t>
        </is>
      </c>
      <c r="E1" s="33" t="inlineStr">
        <is>
          <t>IdType</t>
        </is>
      </c>
      <c r="F1" s="33" t="inlineStr">
        <is>
          <t>YesNo</t>
        </is>
      </c>
      <c r="H1" s="33" t="inlineStr">
        <is>
          <t>Weight class</t>
        </is>
      </c>
      <c r="I1" s="33" t="inlineStr">
        <is>
          <t>Up to (kg)</t>
        </is>
      </c>
      <c r="K1" t="inlineStr">
        <is>
          <t>Source: KKF System Settings → Weight classes, 2026-09-28.</t>
        </is>
      </c>
    </row>
    <row r="2">
      <c r="A2" t="inlineStr">
        <is>
          <t>Male / ប្រុស</t>
        </is>
      </c>
      <c r="B2" t="inlineStr">
        <is>
          <t>Cambodian / ខ្មែរ</t>
        </is>
      </c>
      <c r="C2" t="inlineStr">
        <is>
          <t>Banteay Meanchey / បន្ទាយមានជ័យ</t>
        </is>
      </c>
      <c r="D2" t="inlineStr">
        <is>
          <t>Professional / អាជីព</t>
        </is>
      </c>
      <c r="E2" t="inlineStr">
        <is>
          <t>National ID / អត្តសញ្ញាណប័ណ្ណ</t>
        </is>
      </c>
      <c r="F2" t="inlineStr">
        <is>
          <t>Yes / បាទ/ចាស</t>
        </is>
      </c>
      <c r="H2" t="inlineStr">
        <is>
          <t>Under 45 kg</t>
        </is>
      </c>
      <c r="I2" t="n">
        <v>45</v>
      </c>
    </row>
    <row r="3">
      <c r="A3" t="inlineStr">
        <is>
          <t>Female / ស្រី</t>
        </is>
      </c>
      <c r="B3" t="inlineStr">
        <is>
          <t>Thai / ថៃ</t>
        </is>
      </c>
      <c r="C3" t="inlineStr">
        <is>
          <t>Battambang / បាត់ដំបង</t>
        </is>
      </c>
      <c r="D3" t="inlineStr">
        <is>
          <t>Amateur / ស្ម័គ្រចិត្ត</t>
        </is>
      </c>
      <c r="E3" t="inlineStr">
        <is>
          <t>Passport / លិខិតឆ្លងដែន</t>
        </is>
      </c>
      <c r="F3" t="inlineStr">
        <is>
          <t>No / ទេ</t>
        </is>
      </c>
      <c r="H3" t="inlineStr">
        <is>
          <t>45 kg - 47 kg</t>
        </is>
      </c>
      <c r="I3" t="n">
        <v>47</v>
      </c>
    </row>
    <row r="4">
      <c r="B4" t="inlineStr">
        <is>
          <t>Vietnamese / វៀតណាម</t>
        </is>
      </c>
      <c r="C4" t="inlineStr">
        <is>
          <t>Kampong Cham / កំពង់ចាម</t>
        </is>
      </c>
      <c r="E4" t="inlineStr">
        <is>
          <t>Birth certificate / សំបុត្រកំណើត</t>
        </is>
      </c>
      <c r="H4" t="inlineStr">
        <is>
          <t>48 kg - 49 kg</t>
        </is>
      </c>
      <c r="I4" t="n">
        <v>49</v>
      </c>
    </row>
    <row r="5">
      <c r="B5" t="inlineStr">
        <is>
          <t>Lao / ឡាវ</t>
        </is>
      </c>
      <c r="C5" t="inlineStr">
        <is>
          <t>Kampong Chhnang / កំពង់ឆ្នាំង</t>
        </is>
      </c>
      <c r="E5" t="inlineStr">
        <is>
          <t>Other / ផ្សេងៗ</t>
        </is>
      </c>
      <c r="H5" t="inlineStr">
        <is>
          <t>50 kg - 52 kg</t>
        </is>
      </c>
      <c r="I5" t="n">
        <v>52</v>
      </c>
    </row>
    <row r="6">
      <c r="B6" t="inlineStr">
        <is>
          <t>Myanmar / មីយ៉ាន់ម៉ា</t>
        </is>
      </c>
      <c r="C6" t="inlineStr">
        <is>
          <t>Kampong Speu / កំពង់ស្ពឺ</t>
        </is>
      </c>
      <c r="H6" t="inlineStr">
        <is>
          <t>53 kg - 55 kg</t>
        </is>
      </c>
      <c r="I6" t="n">
        <v>55</v>
      </c>
    </row>
    <row r="7">
      <c r="B7" t="inlineStr">
        <is>
          <t>Other / ផ្សេងៗ</t>
        </is>
      </c>
      <c r="C7" t="inlineStr">
        <is>
          <t>Kampong Thom / កំពង់ធំ</t>
        </is>
      </c>
      <c r="H7" t="inlineStr">
        <is>
          <t>56 kg - 58 kg</t>
        </is>
      </c>
      <c r="I7" t="n">
        <v>58</v>
      </c>
    </row>
    <row r="8">
      <c r="C8" t="inlineStr">
        <is>
          <t>Kampot / កំពត</t>
        </is>
      </c>
      <c r="H8" t="inlineStr">
        <is>
          <t>59 kg - 61 kg</t>
        </is>
      </c>
      <c r="I8" t="n">
        <v>61</v>
      </c>
    </row>
    <row r="9">
      <c r="C9" t="inlineStr">
        <is>
          <t>Kandal / កណ្ដាល</t>
        </is>
      </c>
      <c r="H9" t="inlineStr">
        <is>
          <t>62 kg - 64 kg</t>
        </is>
      </c>
      <c r="I9" t="n">
        <v>64</v>
      </c>
    </row>
    <row r="10">
      <c r="C10" t="inlineStr">
        <is>
          <t>Kep / កែប</t>
        </is>
      </c>
      <c r="H10" t="inlineStr">
        <is>
          <t>65 kg - 67 kg</t>
        </is>
      </c>
      <c r="I10" t="n">
        <v>67</v>
      </c>
    </row>
    <row r="11">
      <c r="C11" t="inlineStr">
        <is>
          <t>Koh Kong / កោះកុង</t>
        </is>
      </c>
      <c r="H11" t="inlineStr">
        <is>
          <t>68 kg - 70 kg</t>
        </is>
      </c>
      <c r="I11" t="n">
        <v>70</v>
      </c>
    </row>
    <row r="12">
      <c r="C12" t="inlineStr">
        <is>
          <t>Kratie / ក្រចេះ</t>
        </is>
      </c>
      <c r="H12" t="inlineStr">
        <is>
          <t>71 kg - 73 kg</t>
        </is>
      </c>
      <c r="I12" t="n">
        <v>73</v>
      </c>
    </row>
    <row r="13">
      <c r="C13" t="inlineStr">
        <is>
          <t>Mondulkiri / មណ្ឌលគិរី</t>
        </is>
      </c>
      <c r="H13" t="inlineStr">
        <is>
          <t>74 kg - 76 kg</t>
        </is>
      </c>
      <c r="I13" t="n">
        <v>76</v>
      </c>
    </row>
    <row r="14">
      <c r="C14" t="inlineStr">
        <is>
          <t>Oddar Meanchey / ឧត្ដរមានជ័យ</t>
        </is>
      </c>
      <c r="H14" t="inlineStr">
        <is>
          <t>77 kg - 80 kg</t>
        </is>
      </c>
      <c r="I14" t="n">
        <v>80</v>
      </c>
    </row>
    <row r="15">
      <c r="C15" t="inlineStr">
        <is>
          <t>Pailin / ប៉ៃលិន</t>
        </is>
      </c>
      <c r="H15" t="inlineStr">
        <is>
          <t>Over 80 kg</t>
        </is>
      </c>
    </row>
    <row r="16">
      <c r="C16" t="inlineStr">
        <is>
          <t>Phnom Penh / ភ្នំពេញ</t>
        </is>
      </c>
    </row>
    <row r="17">
      <c r="C17" t="inlineStr">
        <is>
          <t>Preah Sihanouk / ព្រះសីហនុ</t>
        </is>
      </c>
    </row>
    <row r="18">
      <c r="C18" t="inlineStr">
        <is>
          <t>Preah Vihear / ព្រះវិហារ</t>
        </is>
      </c>
    </row>
    <row r="19">
      <c r="C19" t="inlineStr">
        <is>
          <t>Prey Veng / ព្រៃវែង</t>
        </is>
      </c>
    </row>
    <row r="20">
      <c r="C20" t="inlineStr">
        <is>
          <t>Pursat / ពោធិ៍សាត់</t>
        </is>
      </c>
    </row>
    <row r="21">
      <c r="C21" t="inlineStr">
        <is>
          <t>Ratanakiri / រតនគិរី</t>
        </is>
      </c>
    </row>
    <row r="22">
      <c r="C22" t="inlineStr">
        <is>
          <t>Siem Reap / សៀមរាប</t>
        </is>
      </c>
    </row>
    <row r="23">
      <c r="C23" t="inlineStr">
        <is>
          <t>Stung Treng / ស្ទឹងត្រែង</t>
        </is>
      </c>
    </row>
    <row r="24">
      <c r="C24" t="inlineStr">
        <is>
          <t>Svay Rieng / ស្វាយរៀង</t>
        </is>
      </c>
    </row>
    <row r="25">
      <c r="C25" t="inlineStr">
        <is>
          <t>Takeo / តាកែវ</t>
        </is>
      </c>
    </row>
    <row r="26">
      <c r="C26" t="inlineStr">
        <is>
          <t>Tbong Khmum / ត្បូងឃ្មុំ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2026-09-28T02:17:11Z</dcterms:created>
  <dcterms:modified xmlns:dcterms="http://purl.org/dc/terms/" xmlns:xsi="http://www.w3.org/2001/XMLSchema-instance" xsi:type="dcterms:W3CDTF">2026-09-28T02:17:11Z</dcterms:modified>
</cp:coreProperties>
</file>